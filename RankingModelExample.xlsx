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Library\CloudStorage\GoogleDrive-augustine.fan@signalplus.com\My Drive\Spreadsheets\"/>
    </mc:Choice>
  </mc:AlternateContent>
  <xr:revisionPtr revIDLastSave="0" documentId="13_ncr:1_{89C4E468-08FF-4B91-9CFC-B736FB73CC30}" xr6:coauthVersionLast="47" xr6:coauthVersionMax="47" xr10:uidLastSave="{00000000-0000-0000-0000-000000000000}"/>
  <bookViews>
    <workbookView xWindow="960" yWindow="75" windowWidth="21720" windowHeight="13065" xr2:uid="{0E843113-446E-45C4-93B5-935A0CEAADE5}"/>
  </bookViews>
  <sheets>
    <sheet name="Example" sheetId="3" r:id="rId1"/>
    <sheet name="Calculator" sheetId="4" r:id="rId2"/>
  </sheets>
  <definedNames>
    <definedName name="Historical_Wgt" localSheetId="0">Example!$L$4</definedName>
    <definedName name="Historical_Wgt">#REF!</definedName>
    <definedName name="LeadDays" localSheetId="0">Example!$L$7</definedName>
    <definedName name="LeadDays">#REF!</definedName>
    <definedName name="Sharpe_Wgt" localSheetId="0">Example!$L$3</definedName>
    <definedName name="Sharpe_Wgt">#REF!</definedName>
    <definedName name="SharpePeriod" localSheetId="0">Example!$L$8</definedName>
    <definedName name="SharpePeriod">#REF!</definedName>
    <definedName name="Sortino_Wgt" localSheetId="0">Example!#REF!</definedName>
    <definedName name="Sortino_Wgt">#REF!</definedName>
    <definedName name="Today_Wgt" localSheetId="0">Example!$L$5</definedName>
    <definedName name="Today_Wgt">#REF!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4" l="1"/>
  <c r="BL14" i="3"/>
  <c r="AY14" i="3"/>
  <c r="AL14" i="3"/>
  <c r="Y14" i="3"/>
  <c r="L14" i="3"/>
  <c r="O6" i="4" l="1"/>
  <c r="P5" i="4"/>
  <c r="J5" i="4"/>
  <c r="BJ14" i="3"/>
  <c r="AW14" i="3"/>
  <c r="AJ14" i="3"/>
  <c r="W14" i="3"/>
  <c r="O7" i="4" l="1"/>
  <c r="P6" i="4"/>
  <c r="P7" i="4"/>
  <c r="J14" i="3"/>
  <c r="C6" i="4"/>
  <c r="F35" i="4"/>
  <c r="E35" i="4"/>
  <c r="R5" i="4"/>
  <c r="I5" i="4"/>
  <c r="H5" i="4"/>
  <c r="D6" i="4" s="1"/>
  <c r="G5" i="4"/>
  <c r="Q5" i="4" s="1"/>
  <c r="B5" i="4"/>
  <c r="B6" i="4" s="1"/>
  <c r="B7" i="4" s="1"/>
  <c r="D5" i="3"/>
  <c r="BF44" i="3"/>
  <c r="BE44" i="3"/>
  <c r="BH43" i="3"/>
  <c r="BG43" i="3"/>
  <c r="BH42" i="3"/>
  <c r="BG42" i="3"/>
  <c r="BH41" i="3"/>
  <c r="BG41" i="3"/>
  <c r="BH40" i="3"/>
  <c r="BG40" i="3"/>
  <c r="BH39" i="3"/>
  <c r="BG39" i="3"/>
  <c r="BH38" i="3"/>
  <c r="BG38" i="3"/>
  <c r="BH37" i="3"/>
  <c r="BG37" i="3"/>
  <c r="BH36" i="3"/>
  <c r="BG36" i="3"/>
  <c r="BH35" i="3"/>
  <c r="BG35" i="3"/>
  <c r="BH34" i="3"/>
  <c r="BG34" i="3"/>
  <c r="BH33" i="3"/>
  <c r="BG33" i="3"/>
  <c r="BH32" i="3"/>
  <c r="BG32" i="3"/>
  <c r="BH31" i="3"/>
  <c r="BG31" i="3"/>
  <c r="BH30" i="3"/>
  <c r="BG30" i="3"/>
  <c r="BH29" i="3"/>
  <c r="BG29" i="3"/>
  <c r="BH28" i="3"/>
  <c r="BG28" i="3"/>
  <c r="BH27" i="3"/>
  <c r="BG27" i="3"/>
  <c r="BH26" i="3"/>
  <c r="BG26" i="3"/>
  <c r="BH25" i="3"/>
  <c r="BG25" i="3"/>
  <c r="BH24" i="3"/>
  <c r="BG24" i="3"/>
  <c r="BH23" i="3"/>
  <c r="BG23" i="3"/>
  <c r="BH22" i="3"/>
  <c r="BG22" i="3"/>
  <c r="BH21" i="3"/>
  <c r="BG21" i="3"/>
  <c r="BH20" i="3"/>
  <c r="BG20" i="3"/>
  <c r="BH19" i="3"/>
  <c r="BG19" i="3"/>
  <c r="BH18" i="3"/>
  <c r="BG18" i="3"/>
  <c r="BH17" i="3"/>
  <c r="BG17" i="3"/>
  <c r="BH16" i="3"/>
  <c r="BG16" i="3"/>
  <c r="BH15" i="3"/>
  <c r="BG15" i="3"/>
  <c r="BI14" i="3"/>
  <c r="BH14" i="3"/>
  <c r="BG14" i="3"/>
  <c r="BB14" i="3"/>
  <c r="BB15" i="3" s="1"/>
  <c r="AS44" i="3"/>
  <c r="AR44" i="3"/>
  <c r="AT15" i="3"/>
  <c r="AV14" i="3"/>
  <c r="AU14" i="3"/>
  <c r="AU15" i="3" s="1"/>
  <c r="AT14" i="3"/>
  <c r="AO14" i="3"/>
  <c r="AO15" i="3" s="1"/>
  <c r="AF44" i="3"/>
  <c r="AI14" i="3"/>
  <c r="AB14" i="3"/>
  <c r="AB15" i="3" s="1"/>
  <c r="V14" i="3"/>
  <c r="I14" i="3"/>
  <c r="S44" i="3"/>
  <c r="O14" i="3"/>
  <c r="O15" i="3" s="1"/>
  <c r="B14" i="3"/>
  <c r="B15" i="3" s="1"/>
  <c r="D4" i="3"/>
  <c r="D3" i="3"/>
  <c r="J6" i="4" l="1"/>
  <c r="L6" i="4"/>
  <c r="O8" i="4"/>
  <c r="C7" i="4"/>
  <c r="L7" i="4" s="1"/>
  <c r="G7" i="3"/>
  <c r="H7" i="3" s="1"/>
  <c r="E7" i="3"/>
  <c r="H6" i="4"/>
  <c r="D7" i="4" s="1"/>
  <c r="G6" i="4"/>
  <c r="Q6" i="4" s="1"/>
  <c r="B8" i="4"/>
  <c r="G14" i="3"/>
  <c r="BB16" i="3"/>
  <c r="BC15" i="3"/>
  <c r="BL15" i="3" s="1"/>
  <c r="AO16" i="3"/>
  <c r="AP15" i="3"/>
  <c r="AY15" i="3" s="1"/>
  <c r="AU16" i="3"/>
  <c r="AT16" i="3"/>
  <c r="AC15" i="3"/>
  <c r="AL15" i="3" s="1"/>
  <c r="AB16" i="3"/>
  <c r="AE44" i="3"/>
  <c r="AH14" i="3"/>
  <c r="AD15" i="3" s="1"/>
  <c r="AH15" i="3" s="1"/>
  <c r="AD16" i="3" s="1"/>
  <c r="AH16" i="3" s="1"/>
  <c r="AD17" i="3" s="1"/>
  <c r="AH17" i="3" s="1"/>
  <c r="AD18" i="3" s="1"/>
  <c r="AH18" i="3" s="1"/>
  <c r="AD19" i="3" s="1"/>
  <c r="AH19" i="3" s="1"/>
  <c r="AD20" i="3" s="1"/>
  <c r="AH20" i="3" s="1"/>
  <c r="AD21" i="3" s="1"/>
  <c r="AH21" i="3" s="1"/>
  <c r="AD22" i="3" s="1"/>
  <c r="AH22" i="3" s="1"/>
  <c r="AD23" i="3" s="1"/>
  <c r="AG14" i="3"/>
  <c r="F44" i="3"/>
  <c r="B16" i="3"/>
  <c r="C15" i="3"/>
  <c r="L15" i="3" s="1"/>
  <c r="P15" i="3"/>
  <c r="Y15" i="3" s="1"/>
  <c r="O16" i="3"/>
  <c r="H14" i="3"/>
  <c r="P8" i="4" l="1"/>
  <c r="O9" i="4"/>
  <c r="W15" i="3"/>
  <c r="AJ15" i="3"/>
  <c r="C8" i="4"/>
  <c r="L8" i="4" s="1"/>
  <c r="J7" i="4"/>
  <c r="BI15" i="3"/>
  <c r="BJ15" i="3"/>
  <c r="AV15" i="3"/>
  <c r="AW15" i="3"/>
  <c r="J15" i="3"/>
  <c r="G7" i="4"/>
  <c r="Q7" i="4" s="1"/>
  <c r="H7" i="4"/>
  <c r="D8" i="4" s="1"/>
  <c r="B9" i="4"/>
  <c r="BB17" i="3"/>
  <c r="BC16" i="3"/>
  <c r="BL16" i="3" s="1"/>
  <c r="AU17" i="3"/>
  <c r="AT17" i="3"/>
  <c r="AP16" i="3"/>
  <c r="AY16" i="3" s="1"/>
  <c r="AO17" i="3"/>
  <c r="AG21" i="3"/>
  <c r="AG20" i="3"/>
  <c r="AG16" i="3"/>
  <c r="AG19" i="3"/>
  <c r="AG15" i="3"/>
  <c r="AI15" i="3" s="1"/>
  <c r="AG17" i="3"/>
  <c r="AG18" i="3"/>
  <c r="AG23" i="3"/>
  <c r="AH23" i="3"/>
  <c r="AD24" i="3" s="1"/>
  <c r="AC16" i="3"/>
  <c r="AL16" i="3" s="1"/>
  <c r="AB17" i="3"/>
  <c r="AG22" i="3"/>
  <c r="D15" i="3"/>
  <c r="R44" i="3"/>
  <c r="T14" i="3"/>
  <c r="U14" i="3"/>
  <c r="Q15" i="3" s="1"/>
  <c r="O17" i="3"/>
  <c r="P16" i="3"/>
  <c r="Y16" i="3" s="1"/>
  <c r="B17" i="3"/>
  <c r="C16" i="3"/>
  <c r="L16" i="3" s="1"/>
  <c r="O10" i="4" l="1"/>
  <c r="P9" i="4"/>
  <c r="W16" i="3"/>
  <c r="AJ16" i="3"/>
  <c r="C9" i="4"/>
  <c r="L9" i="4" s="1"/>
  <c r="J8" i="4"/>
  <c r="BI16" i="3"/>
  <c r="BJ16" i="3"/>
  <c r="AV16" i="3"/>
  <c r="AW16" i="3"/>
  <c r="J16" i="3"/>
  <c r="H8" i="4"/>
  <c r="D9" i="4" s="1"/>
  <c r="G8" i="4"/>
  <c r="Q8" i="4" s="1"/>
  <c r="B10" i="4"/>
  <c r="BB18" i="3"/>
  <c r="BC17" i="3"/>
  <c r="BL17" i="3" s="1"/>
  <c r="AO18" i="3"/>
  <c r="AP17" i="3"/>
  <c r="AY17" i="3" s="1"/>
  <c r="AU18" i="3"/>
  <c r="AT18" i="3"/>
  <c r="AC17" i="3"/>
  <c r="AL17" i="3" s="1"/>
  <c r="AB18" i="3"/>
  <c r="AI16" i="3"/>
  <c r="AH24" i="3"/>
  <c r="AD25" i="3" s="1"/>
  <c r="AG24" i="3"/>
  <c r="H15" i="3"/>
  <c r="G15" i="3"/>
  <c r="O18" i="3"/>
  <c r="P17" i="3"/>
  <c r="Y17" i="3" s="1"/>
  <c r="U15" i="3"/>
  <c r="Q16" i="3" s="1"/>
  <c r="T15" i="3"/>
  <c r="V15" i="3" s="1"/>
  <c r="B18" i="3"/>
  <c r="C17" i="3"/>
  <c r="L17" i="3" s="1"/>
  <c r="O11" i="4" l="1"/>
  <c r="P10" i="4"/>
  <c r="W17" i="3"/>
  <c r="AJ17" i="3"/>
  <c r="C10" i="4"/>
  <c r="L10" i="4" s="1"/>
  <c r="J9" i="4"/>
  <c r="BI17" i="3"/>
  <c r="BJ17" i="3"/>
  <c r="AV17" i="3"/>
  <c r="AW17" i="3"/>
  <c r="J17" i="3"/>
  <c r="G9" i="4"/>
  <c r="Q9" i="4" s="1"/>
  <c r="H9" i="4"/>
  <c r="D10" i="4" s="1"/>
  <c r="B11" i="4"/>
  <c r="BB19" i="3"/>
  <c r="BC18" i="3"/>
  <c r="BL18" i="3" s="1"/>
  <c r="AT19" i="3"/>
  <c r="AU19" i="3"/>
  <c r="AO19" i="3"/>
  <c r="AP18" i="3"/>
  <c r="AY18" i="3" s="1"/>
  <c r="AI17" i="3"/>
  <c r="AH25" i="3"/>
  <c r="AD26" i="3" s="1"/>
  <c r="AG25" i="3"/>
  <c r="AC18" i="3"/>
  <c r="AL18" i="3" s="1"/>
  <c r="AB19" i="3"/>
  <c r="D16" i="3"/>
  <c r="G16" i="3" s="1"/>
  <c r="I15" i="3"/>
  <c r="B19" i="3"/>
  <c r="C18" i="3"/>
  <c r="L18" i="3" s="1"/>
  <c r="U16" i="3"/>
  <c r="Q17" i="3" s="1"/>
  <c r="T16" i="3"/>
  <c r="O19" i="3"/>
  <c r="P18" i="3"/>
  <c r="Y18" i="3" s="1"/>
  <c r="O12" i="4" l="1"/>
  <c r="P11" i="4"/>
  <c r="W18" i="3"/>
  <c r="AJ18" i="3"/>
  <c r="C11" i="4"/>
  <c r="L11" i="4" s="1"/>
  <c r="J10" i="4"/>
  <c r="BI18" i="3"/>
  <c r="BJ18" i="3"/>
  <c r="AV18" i="3"/>
  <c r="AW18" i="3"/>
  <c r="J18" i="3"/>
  <c r="H10" i="4"/>
  <c r="D11" i="4" s="1"/>
  <c r="G10" i="4"/>
  <c r="Q10" i="4" s="1"/>
  <c r="B12" i="4"/>
  <c r="V16" i="3"/>
  <c r="BB20" i="3"/>
  <c r="BC19" i="3"/>
  <c r="BL19" i="3" s="1"/>
  <c r="AO20" i="3"/>
  <c r="AP19" i="3"/>
  <c r="AY19" i="3" s="1"/>
  <c r="AU20" i="3"/>
  <c r="AT20" i="3"/>
  <c r="AI18" i="3"/>
  <c r="AC19" i="3"/>
  <c r="AL19" i="3" s="1"/>
  <c r="AB20" i="3"/>
  <c r="AH26" i="3"/>
  <c r="AD27" i="3" s="1"/>
  <c r="AG26" i="3"/>
  <c r="I16" i="3"/>
  <c r="H16" i="3"/>
  <c r="D17" i="3" s="1"/>
  <c r="O20" i="3"/>
  <c r="P19" i="3"/>
  <c r="Y19" i="3" s="1"/>
  <c r="U17" i="3"/>
  <c r="Q18" i="3" s="1"/>
  <c r="T17" i="3"/>
  <c r="B20" i="3"/>
  <c r="C19" i="3"/>
  <c r="L19" i="3" s="1"/>
  <c r="P12" i="4" l="1"/>
  <c r="O13" i="4"/>
  <c r="W19" i="3"/>
  <c r="AJ19" i="3"/>
  <c r="C12" i="4"/>
  <c r="J11" i="4"/>
  <c r="BI19" i="3"/>
  <c r="BJ19" i="3"/>
  <c r="AV19" i="3"/>
  <c r="AW19" i="3"/>
  <c r="J19" i="3"/>
  <c r="V17" i="3"/>
  <c r="H11" i="4"/>
  <c r="D12" i="4" s="1"/>
  <c r="G11" i="4"/>
  <c r="Q11" i="4" s="1"/>
  <c r="B13" i="4"/>
  <c r="BB21" i="3"/>
  <c r="BC20" i="3"/>
  <c r="BL20" i="3" s="1"/>
  <c r="AP20" i="3"/>
  <c r="AY20" i="3" s="1"/>
  <c r="AO21" i="3"/>
  <c r="AU21" i="3"/>
  <c r="AT21" i="3"/>
  <c r="AI19" i="3"/>
  <c r="AH27" i="3"/>
  <c r="AD28" i="3" s="1"/>
  <c r="AG27" i="3"/>
  <c r="AC20" i="3"/>
  <c r="AL20" i="3" s="1"/>
  <c r="AB21" i="3"/>
  <c r="G17" i="3"/>
  <c r="O21" i="3"/>
  <c r="P20" i="3"/>
  <c r="Y20" i="3" s="1"/>
  <c r="B21" i="3"/>
  <c r="C20" i="3"/>
  <c r="L20" i="3" s="1"/>
  <c r="U18" i="3"/>
  <c r="Q19" i="3" s="1"/>
  <c r="T18" i="3"/>
  <c r="P13" i="4" l="1"/>
  <c r="O14" i="4"/>
  <c r="W20" i="3"/>
  <c r="AJ20" i="3"/>
  <c r="C13" i="4"/>
  <c r="J12" i="4"/>
  <c r="BI20" i="3"/>
  <c r="BJ20" i="3"/>
  <c r="AV20" i="3"/>
  <c r="AW20" i="3"/>
  <c r="J20" i="3"/>
  <c r="V18" i="3"/>
  <c r="B14" i="4"/>
  <c r="G12" i="4"/>
  <c r="Q12" i="4" s="1"/>
  <c r="H12" i="4"/>
  <c r="D13" i="4" s="1"/>
  <c r="BC21" i="3"/>
  <c r="BB22" i="3"/>
  <c r="AU22" i="3"/>
  <c r="AT22" i="3"/>
  <c r="AO22" i="3"/>
  <c r="AP21" i="3"/>
  <c r="AI20" i="3"/>
  <c r="AC21" i="3"/>
  <c r="AB22" i="3"/>
  <c r="AH28" i="3"/>
  <c r="AD29" i="3" s="1"/>
  <c r="AG28" i="3"/>
  <c r="I17" i="3"/>
  <c r="H17" i="3"/>
  <c r="O22" i="3"/>
  <c r="P21" i="3"/>
  <c r="U19" i="3"/>
  <c r="Q20" i="3" s="1"/>
  <c r="T19" i="3"/>
  <c r="B22" i="3"/>
  <c r="C21" i="3"/>
  <c r="O15" i="4" l="1"/>
  <c r="P14" i="4"/>
  <c r="AJ21" i="3"/>
  <c r="BJ21" i="3"/>
  <c r="AW21" i="3"/>
  <c r="C14" i="4"/>
  <c r="J13" i="4"/>
  <c r="V19" i="3"/>
  <c r="W21" i="3"/>
  <c r="J21" i="3"/>
  <c r="H13" i="4"/>
  <c r="D14" i="4" s="1"/>
  <c r="G13" i="4"/>
  <c r="Q13" i="4" s="1"/>
  <c r="B15" i="4"/>
  <c r="BC22" i="3"/>
  <c r="BB23" i="3"/>
  <c r="BI21" i="3"/>
  <c r="BL21" i="3" s="1"/>
  <c r="AV21" i="3"/>
  <c r="AY21" i="3" s="1"/>
  <c r="AO23" i="3"/>
  <c r="AP22" i="3"/>
  <c r="AU23" i="3"/>
  <c r="AT23" i="3"/>
  <c r="AH29" i="3"/>
  <c r="AD30" i="3" s="1"/>
  <c r="AG29" i="3"/>
  <c r="AC22" i="3"/>
  <c r="AB23" i="3"/>
  <c r="AI21" i="3"/>
  <c r="AL21" i="3" s="1"/>
  <c r="D18" i="3"/>
  <c r="G18" i="3" s="1"/>
  <c r="U20" i="3"/>
  <c r="Q21" i="3" s="1"/>
  <c r="T20" i="3"/>
  <c r="B23" i="3"/>
  <c r="C22" i="3"/>
  <c r="O23" i="3"/>
  <c r="P22" i="3"/>
  <c r="O16" i="4" l="1"/>
  <c r="P15" i="4"/>
  <c r="AJ22" i="3"/>
  <c r="BJ22" i="3"/>
  <c r="AW22" i="3"/>
  <c r="C15" i="4"/>
  <c r="J14" i="4"/>
  <c r="V20" i="3"/>
  <c r="W22" i="3"/>
  <c r="J22" i="3"/>
  <c r="R10" i="4"/>
  <c r="I6" i="4"/>
  <c r="I7" i="4" s="1"/>
  <c r="I8" i="4" s="1"/>
  <c r="I9" i="4" s="1"/>
  <c r="I10" i="4" s="1"/>
  <c r="I11" i="4" s="1"/>
  <c r="I12" i="4" s="1"/>
  <c r="R6" i="4"/>
  <c r="R9" i="4"/>
  <c r="H14" i="4"/>
  <c r="D15" i="4" s="1"/>
  <c r="G14" i="4"/>
  <c r="Q14" i="4" s="1"/>
  <c r="R8" i="4"/>
  <c r="B16" i="4"/>
  <c r="R11" i="4"/>
  <c r="R7" i="4"/>
  <c r="BC23" i="3"/>
  <c r="BB24" i="3"/>
  <c r="BI22" i="3"/>
  <c r="BL22" i="3" s="1"/>
  <c r="AO24" i="3"/>
  <c r="AP23" i="3"/>
  <c r="AT24" i="3"/>
  <c r="AU24" i="3"/>
  <c r="AV22" i="3"/>
  <c r="AY22" i="3" s="1"/>
  <c r="AB24" i="3"/>
  <c r="AC23" i="3"/>
  <c r="AI22" i="3"/>
  <c r="AL22" i="3" s="1"/>
  <c r="AH30" i="3"/>
  <c r="AD31" i="3" s="1"/>
  <c r="AG30" i="3"/>
  <c r="H18" i="3"/>
  <c r="D19" i="3" s="1"/>
  <c r="H19" i="3" s="1"/>
  <c r="D20" i="3" s="1"/>
  <c r="I18" i="3"/>
  <c r="B24" i="3"/>
  <c r="C23" i="3"/>
  <c r="U21" i="3"/>
  <c r="Q22" i="3" s="1"/>
  <c r="T21" i="3"/>
  <c r="O24" i="3"/>
  <c r="P23" i="3"/>
  <c r="I13" i="4" l="1"/>
  <c r="L12" i="4"/>
  <c r="P16" i="4"/>
  <c r="O17" i="4"/>
  <c r="AJ23" i="3"/>
  <c r="BJ23" i="3"/>
  <c r="AW23" i="3"/>
  <c r="C16" i="4"/>
  <c r="J15" i="4"/>
  <c r="R12" i="4"/>
  <c r="W23" i="3"/>
  <c r="J23" i="3"/>
  <c r="I14" i="4"/>
  <c r="G15" i="4"/>
  <c r="Q15" i="4" s="1"/>
  <c r="H15" i="4"/>
  <c r="D16" i="4" s="1"/>
  <c r="B17" i="4"/>
  <c r="BC24" i="3"/>
  <c r="BB25" i="3"/>
  <c r="BI23" i="3"/>
  <c r="BL23" i="3" s="1"/>
  <c r="AU25" i="3"/>
  <c r="AT25" i="3"/>
  <c r="AV23" i="3"/>
  <c r="AY23" i="3" s="1"/>
  <c r="AO25" i="3"/>
  <c r="AP24" i="3"/>
  <c r="AH31" i="3"/>
  <c r="AD32" i="3" s="1"/>
  <c r="AG31" i="3"/>
  <c r="AI23" i="3"/>
  <c r="AL23" i="3" s="1"/>
  <c r="AB25" i="3"/>
  <c r="AC24" i="3"/>
  <c r="V21" i="3"/>
  <c r="Y21" i="3" s="1"/>
  <c r="H20" i="3"/>
  <c r="G19" i="3"/>
  <c r="U22" i="3"/>
  <c r="Q23" i="3" s="1"/>
  <c r="T22" i="3"/>
  <c r="O25" i="3"/>
  <c r="P24" i="3"/>
  <c r="B25" i="3"/>
  <c r="C24" i="3"/>
  <c r="L14" i="4" l="1"/>
  <c r="R14" i="4" s="1"/>
  <c r="P17" i="4"/>
  <c r="O18" i="4"/>
  <c r="L13" i="4"/>
  <c r="R13" i="4" s="1"/>
  <c r="AJ24" i="3"/>
  <c r="BJ24" i="3"/>
  <c r="AW24" i="3"/>
  <c r="I15" i="4"/>
  <c r="C17" i="4"/>
  <c r="J16" i="4"/>
  <c r="J24" i="3"/>
  <c r="W24" i="3"/>
  <c r="H16" i="4"/>
  <c r="D17" i="4" s="1"/>
  <c r="G16" i="4"/>
  <c r="B18" i="4"/>
  <c r="BC25" i="3"/>
  <c r="BB26" i="3"/>
  <c r="BI24" i="3"/>
  <c r="BL24" i="3" s="1"/>
  <c r="AV24" i="3"/>
  <c r="AY24" i="3" s="1"/>
  <c r="AU26" i="3"/>
  <c r="AT26" i="3"/>
  <c r="AO26" i="3"/>
  <c r="AP25" i="3"/>
  <c r="AC25" i="3"/>
  <c r="AB26" i="3"/>
  <c r="AH32" i="3"/>
  <c r="AD33" i="3" s="1"/>
  <c r="AG32" i="3"/>
  <c r="AI24" i="3"/>
  <c r="AL24" i="3" s="1"/>
  <c r="V22" i="3"/>
  <c r="Y22" i="3" s="1"/>
  <c r="I19" i="3"/>
  <c r="G20" i="3"/>
  <c r="D21" i="3"/>
  <c r="U23" i="3"/>
  <c r="Q24" i="3" s="1"/>
  <c r="T23" i="3"/>
  <c r="B26" i="3"/>
  <c r="C25" i="3"/>
  <c r="O26" i="3"/>
  <c r="P25" i="3"/>
  <c r="I16" i="4" l="1"/>
  <c r="Q16" i="4"/>
  <c r="L15" i="4"/>
  <c r="R15" i="4" s="1"/>
  <c r="O19" i="4"/>
  <c r="P18" i="4"/>
  <c r="AJ25" i="3"/>
  <c r="BJ25" i="3"/>
  <c r="AW25" i="3"/>
  <c r="C18" i="4"/>
  <c r="J17" i="4"/>
  <c r="W25" i="3"/>
  <c r="J25" i="3"/>
  <c r="G17" i="4"/>
  <c r="H17" i="4"/>
  <c r="D18" i="4" s="1"/>
  <c r="B19" i="4"/>
  <c r="BC26" i="3"/>
  <c r="BB27" i="3"/>
  <c r="BI25" i="3"/>
  <c r="BL25" i="3" s="1"/>
  <c r="AV25" i="3"/>
  <c r="AY25" i="3" s="1"/>
  <c r="AU27" i="3"/>
  <c r="AT27" i="3"/>
  <c r="AO27" i="3"/>
  <c r="AP26" i="3"/>
  <c r="AI25" i="3"/>
  <c r="AL25" i="3" s="1"/>
  <c r="AH33" i="3"/>
  <c r="AD34" i="3" s="1"/>
  <c r="AG33" i="3"/>
  <c r="AC26" i="3"/>
  <c r="AB27" i="3"/>
  <c r="V23" i="3"/>
  <c r="Y23" i="3" s="1"/>
  <c r="I20" i="3"/>
  <c r="H21" i="3"/>
  <c r="D22" i="3" s="1"/>
  <c r="O27" i="3"/>
  <c r="P26" i="3"/>
  <c r="B27" i="3"/>
  <c r="C26" i="3"/>
  <c r="U24" i="3"/>
  <c r="Q25" i="3" s="1"/>
  <c r="T24" i="3"/>
  <c r="I17" i="4" l="1"/>
  <c r="Q17" i="4"/>
  <c r="O20" i="4"/>
  <c r="P19" i="4"/>
  <c r="L16" i="4"/>
  <c r="R16" i="4" s="1"/>
  <c r="AJ26" i="3"/>
  <c r="BJ26" i="3"/>
  <c r="AW26" i="3"/>
  <c r="C19" i="4"/>
  <c r="J18" i="4"/>
  <c r="W26" i="3"/>
  <c r="J26" i="3"/>
  <c r="B20" i="4"/>
  <c r="H18" i="4"/>
  <c r="D19" i="4" s="1"/>
  <c r="G18" i="4"/>
  <c r="Q18" i="4" s="1"/>
  <c r="BI26" i="3"/>
  <c r="BL26" i="3" s="1"/>
  <c r="BC27" i="3"/>
  <c r="BB28" i="3"/>
  <c r="AT28" i="3"/>
  <c r="AU28" i="3"/>
  <c r="AV26" i="3"/>
  <c r="AY26" i="3" s="1"/>
  <c r="AP27" i="3"/>
  <c r="AO28" i="3"/>
  <c r="AH34" i="3"/>
  <c r="AD35" i="3" s="1"/>
  <c r="AG34" i="3"/>
  <c r="AB28" i="3"/>
  <c r="AC27" i="3"/>
  <c r="AI26" i="3"/>
  <c r="AL26" i="3" s="1"/>
  <c r="V24" i="3"/>
  <c r="Y24" i="3" s="1"/>
  <c r="H22" i="3"/>
  <c r="D23" i="3" s="1"/>
  <c r="G21" i="3"/>
  <c r="U25" i="3"/>
  <c r="Q26" i="3" s="1"/>
  <c r="T25" i="3"/>
  <c r="B28" i="3"/>
  <c r="C27" i="3"/>
  <c r="O28" i="3"/>
  <c r="P27" i="3"/>
  <c r="P20" i="4" l="1"/>
  <c r="O21" i="4"/>
  <c r="L17" i="4"/>
  <c r="R17" i="4" s="1"/>
  <c r="AJ27" i="3"/>
  <c r="BJ27" i="3"/>
  <c r="AW27" i="3"/>
  <c r="C20" i="4"/>
  <c r="J19" i="4"/>
  <c r="J27" i="3"/>
  <c r="W27" i="3"/>
  <c r="G19" i="4"/>
  <c r="Q19" i="4" s="1"/>
  <c r="H19" i="4"/>
  <c r="D20" i="4" s="1"/>
  <c r="I18" i="4"/>
  <c r="L18" i="4" s="1"/>
  <c r="B21" i="4"/>
  <c r="BC28" i="3"/>
  <c r="BB29" i="3"/>
  <c r="BI27" i="3"/>
  <c r="BL27" i="3" s="1"/>
  <c r="AO29" i="3"/>
  <c r="AP28" i="3"/>
  <c r="AU29" i="3"/>
  <c r="AT29" i="3"/>
  <c r="AV27" i="3"/>
  <c r="AY27" i="3" s="1"/>
  <c r="AI27" i="3"/>
  <c r="AL27" i="3" s="1"/>
  <c r="AB29" i="3"/>
  <c r="AC28" i="3"/>
  <c r="AH35" i="3"/>
  <c r="AD36" i="3" s="1"/>
  <c r="AG35" i="3"/>
  <c r="V25" i="3"/>
  <c r="Y25" i="3" s="1"/>
  <c r="I21" i="3"/>
  <c r="L21" i="3" s="1"/>
  <c r="G23" i="3"/>
  <c r="G22" i="3"/>
  <c r="U26" i="3"/>
  <c r="Q27" i="3" s="1"/>
  <c r="T26" i="3"/>
  <c r="O29" i="3"/>
  <c r="P28" i="3"/>
  <c r="B29" i="3"/>
  <c r="C28" i="3"/>
  <c r="P21" i="4" l="1"/>
  <c r="O22" i="4"/>
  <c r="AJ28" i="3"/>
  <c r="BJ28" i="3"/>
  <c r="AW28" i="3"/>
  <c r="C21" i="4"/>
  <c r="J20" i="4"/>
  <c r="W28" i="3"/>
  <c r="J28" i="3"/>
  <c r="I19" i="4"/>
  <c r="I20" i="4" s="1"/>
  <c r="R18" i="4"/>
  <c r="B22" i="4"/>
  <c r="G20" i="4"/>
  <c r="Q20" i="4" s="1"/>
  <c r="H20" i="4"/>
  <c r="D21" i="4" s="1"/>
  <c r="BC29" i="3"/>
  <c r="BB30" i="3"/>
  <c r="BI28" i="3"/>
  <c r="BL28" i="3" s="1"/>
  <c r="AO30" i="3"/>
  <c r="AP29" i="3"/>
  <c r="AV28" i="3"/>
  <c r="AY28" i="3" s="1"/>
  <c r="AU30" i="3"/>
  <c r="AT30" i="3"/>
  <c r="AC29" i="3"/>
  <c r="AB30" i="3"/>
  <c r="AH36" i="3"/>
  <c r="AD37" i="3" s="1"/>
  <c r="AG36" i="3"/>
  <c r="AI28" i="3"/>
  <c r="AL28" i="3" s="1"/>
  <c r="V26" i="3"/>
  <c r="Y26" i="3" s="1"/>
  <c r="H23" i="3"/>
  <c r="D24" i="3" s="1"/>
  <c r="H24" i="3" s="1"/>
  <c r="D25" i="3" s="1"/>
  <c r="I22" i="3"/>
  <c r="L22" i="3" s="1"/>
  <c r="O30" i="3"/>
  <c r="P29" i="3"/>
  <c r="U27" i="3"/>
  <c r="Q28" i="3" s="1"/>
  <c r="T27" i="3"/>
  <c r="B30" i="3"/>
  <c r="C29" i="3"/>
  <c r="L20" i="4" l="1"/>
  <c r="R20" i="4" s="1"/>
  <c r="O23" i="4"/>
  <c r="P22" i="4"/>
  <c r="L19" i="4"/>
  <c r="R19" i="4" s="1"/>
  <c r="AJ29" i="3"/>
  <c r="BJ29" i="3"/>
  <c r="AW29" i="3"/>
  <c r="C22" i="4"/>
  <c r="J21" i="4"/>
  <c r="J29" i="3"/>
  <c r="W29" i="3"/>
  <c r="H21" i="4"/>
  <c r="D22" i="4" s="1"/>
  <c r="G21" i="4"/>
  <c r="B23" i="4"/>
  <c r="BC30" i="3"/>
  <c r="BB31" i="3"/>
  <c r="BI29" i="3"/>
  <c r="BL29" i="3" s="1"/>
  <c r="AV29" i="3"/>
  <c r="AY29" i="3" s="1"/>
  <c r="AT31" i="3"/>
  <c r="AU31" i="3"/>
  <c r="AO31" i="3"/>
  <c r="AP30" i="3"/>
  <c r="AH37" i="3"/>
  <c r="AD38" i="3" s="1"/>
  <c r="AG37" i="3"/>
  <c r="AC30" i="3"/>
  <c r="AB31" i="3"/>
  <c r="AI29" i="3"/>
  <c r="AL29" i="3" s="1"/>
  <c r="V27" i="3"/>
  <c r="Y27" i="3" s="1"/>
  <c r="G24" i="3"/>
  <c r="I23" i="3"/>
  <c r="L23" i="3" s="1"/>
  <c r="H25" i="3"/>
  <c r="U28" i="3"/>
  <c r="Q29" i="3" s="1"/>
  <c r="T28" i="3"/>
  <c r="B31" i="3"/>
  <c r="C30" i="3"/>
  <c r="O31" i="3"/>
  <c r="P30" i="3"/>
  <c r="O24" i="4" l="1"/>
  <c r="P23" i="4"/>
  <c r="I21" i="4"/>
  <c r="Q21" i="4"/>
  <c r="AJ30" i="3"/>
  <c r="BJ30" i="3"/>
  <c r="AW30" i="3"/>
  <c r="C23" i="4"/>
  <c r="J22" i="4"/>
  <c r="J30" i="3"/>
  <c r="W30" i="3"/>
  <c r="B24" i="4"/>
  <c r="H22" i="4"/>
  <c r="D23" i="4" s="1"/>
  <c r="G22" i="4"/>
  <c r="Q22" i="4" s="1"/>
  <c r="BC31" i="3"/>
  <c r="BB32" i="3"/>
  <c r="BI30" i="3"/>
  <c r="BL30" i="3" s="1"/>
  <c r="AV30" i="3"/>
  <c r="AY30" i="3" s="1"/>
  <c r="AT32" i="3"/>
  <c r="AU32" i="3"/>
  <c r="AO32" i="3"/>
  <c r="AP31" i="3"/>
  <c r="AH38" i="3"/>
  <c r="AD39" i="3" s="1"/>
  <c r="AG38" i="3"/>
  <c r="AC31" i="3"/>
  <c r="AB32" i="3"/>
  <c r="AI30" i="3"/>
  <c r="AL30" i="3" s="1"/>
  <c r="V28" i="3"/>
  <c r="Y28" i="3" s="1"/>
  <c r="G25" i="3"/>
  <c r="I24" i="3"/>
  <c r="L24" i="3" s="1"/>
  <c r="D26" i="3"/>
  <c r="O32" i="3"/>
  <c r="P31" i="3"/>
  <c r="U29" i="3"/>
  <c r="Q30" i="3" s="1"/>
  <c r="T29" i="3"/>
  <c r="B32" i="3"/>
  <c r="C31" i="3"/>
  <c r="L21" i="4" l="1"/>
  <c r="R21" i="4" s="1"/>
  <c r="P24" i="4"/>
  <c r="O25" i="4"/>
  <c r="AJ31" i="3"/>
  <c r="BJ31" i="3"/>
  <c r="AW31" i="3"/>
  <c r="C24" i="4"/>
  <c r="J23" i="4"/>
  <c r="J31" i="3"/>
  <c r="W31" i="3"/>
  <c r="G23" i="4"/>
  <c r="Q23" i="4" s="1"/>
  <c r="H23" i="4"/>
  <c r="D24" i="4" s="1"/>
  <c r="B25" i="4"/>
  <c r="I22" i="4"/>
  <c r="BC32" i="3"/>
  <c r="BB33" i="3"/>
  <c r="BI31" i="3"/>
  <c r="BL31" i="3" s="1"/>
  <c r="AV31" i="3"/>
  <c r="AY31" i="3" s="1"/>
  <c r="AU33" i="3"/>
  <c r="AT33" i="3"/>
  <c r="AO33" i="3"/>
  <c r="AP32" i="3"/>
  <c r="AC32" i="3"/>
  <c r="AB33" i="3"/>
  <c r="AH39" i="3"/>
  <c r="AD40" i="3" s="1"/>
  <c r="AG39" i="3"/>
  <c r="AI31" i="3"/>
  <c r="AL31" i="3" s="1"/>
  <c r="V29" i="3"/>
  <c r="Y29" i="3" s="1"/>
  <c r="H26" i="3"/>
  <c r="D27" i="3" s="1"/>
  <c r="I25" i="3"/>
  <c r="L25" i="3" s="1"/>
  <c r="B33" i="3"/>
  <c r="C32" i="3"/>
  <c r="U30" i="3"/>
  <c r="Q31" i="3" s="1"/>
  <c r="T30" i="3"/>
  <c r="O33" i="3"/>
  <c r="P32" i="3"/>
  <c r="L22" i="4" l="1"/>
  <c r="R22" i="4" s="1"/>
  <c r="O26" i="4"/>
  <c r="P25" i="4"/>
  <c r="AJ32" i="3"/>
  <c r="BJ32" i="3"/>
  <c r="AW32" i="3"/>
  <c r="C25" i="4"/>
  <c r="J24" i="4"/>
  <c r="W32" i="3"/>
  <c r="J32" i="3"/>
  <c r="H24" i="4"/>
  <c r="D25" i="4" s="1"/>
  <c r="G24" i="4"/>
  <c r="Q24" i="4" s="1"/>
  <c r="I23" i="4"/>
  <c r="B26" i="4"/>
  <c r="BC33" i="3"/>
  <c r="BB34" i="3"/>
  <c r="BI32" i="3"/>
  <c r="BL32" i="3" s="1"/>
  <c r="AU34" i="3"/>
  <c r="AT34" i="3"/>
  <c r="AV32" i="3"/>
  <c r="AY32" i="3" s="1"/>
  <c r="AO34" i="3"/>
  <c r="AP33" i="3"/>
  <c r="AH40" i="3"/>
  <c r="AD41" i="3" s="1"/>
  <c r="AG40" i="3"/>
  <c r="AB34" i="3"/>
  <c r="AC33" i="3"/>
  <c r="AI32" i="3"/>
  <c r="AL32" i="3" s="1"/>
  <c r="V30" i="3"/>
  <c r="Y30" i="3" s="1"/>
  <c r="H27" i="3"/>
  <c r="G26" i="3"/>
  <c r="B34" i="3"/>
  <c r="C33" i="3"/>
  <c r="U31" i="3"/>
  <c r="Q32" i="3" s="1"/>
  <c r="T31" i="3"/>
  <c r="O34" i="3"/>
  <c r="P33" i="3"/>
  <c r="R23" i="4" l="1"/>
  <c r="L23" i="4"/>
  <c r="O27" i="4"/>
  <c r="P26" i="4"/>
  <c r="AJ33" i="3"/>
  <c r="BJ33" i="3"/>
  <c r="AW33" i="3"/>
  <c r="C26" i="4"/>
  <c r="J25" i="4"/>
  <c r="J33" i="3"/>
  <c r="W33" i="3"/>
  <c r="I24" i="4"/>
  <c r="B27" i="4"/>
  <c r="H25" i="4"/>
  <c r="D26" i="4" s="1"/>
  <c r="G25" i="4"/>
  <c r="Q25" i="4" s="1"/>
  <c r="BC34" i="3"/>
  <c r="BB35" i="3"/>
  <c r="BI33" i="3"/>
  <c r="BL33" i="3" s="1"/>
  <c r="AO35" i="3"/>
  <c r="AP34" i="3"/>
  <c r="AV33" i="3"/>
  <c r="AY33" i="3" s="1"/>
  <c r="AT35" i="3"/>
  <c r="AU35" i="3"/>
  <c r="AI33" i="3"/>
  <c r="AL33" i="3" s="1"/>
  <c r="AB35" i="3"/>
  <c r="AC34" i="3"/>
  <c r="AH41" i="3"/>
  <c r="AD42" i="3" s="1"/>
  <c r="AG41" i="3"/>
  <c r="V31" i="3"/>
  <c r="Y31" i="3" s="1"/>
  <c r="I26" i="3"/>
  <c r="L26" i="3" s="1"/>
  <c r="G27" i="3"/>
  <c r="D28" i="3"/>
  <c r="O35" i="3"/>
  <c r="P34" i="3"/>
  <c r="B35" i="3"/>
  <c r="C34" i="3"/>
  <c r="U32" i="3"/>
  <c r="Q33" i="3" s="1"/>
  <c r="T32" i="3"/>
  <c r="P27" i="4" l="1"/>
  <c r="O28" i="4"/>
  <c r="L24" i="4"/>
  <c r="R24" i="4" s="1"/>
  <c r="AJ34" i="3"/>
  <c r="BJ34" i="3"/>
  <c r="AW34" i="3"/>
  <c r="C27" i="4"/>
  <c r="J26" i="4"/>
  <c r="J34" i="3"/>
  <c r="W34" i="3"/>
  <c r="H26" i="4"/>
  <c r="D27" i="4" s="1"/>
  <c r="G26" i="4"/>
  <c r="Q26" i="4" s="1"/>
  <c r="B28" i="4"/>
  <c r="I25" i="4"/>
  <c r="L25" i="4" s="1"/>
  <c r="R25" i="4" s="1"/>
  <c r="BC35" i="3"/>
  <c r="BB36" i="3"/>
  <c r="BI34" i="3"/>
  <c r="BL34" i="3" s="1"/>
  <c r="AV34" i="3"/>
  <c r="AY34" i="3" s="1"/>
  <c r="AU36" i="3"/>
  <c r="AT36" i="3"/>
  <c r="AO36" i="3"/>
  <c r="AP35" i="3"/>
  <c r="AI34" i="3"/>
  <c r="AL34" i="3" s="1"/>
  <c r="AH42" i="3"/>
  <c r="AD43" i="3" s="1"/>
  <c r="AG42" i="3"/>
  <c r="AC35" i="3"/>
  <c r="AB36" i="3"/>
  <c r="V32" i="3"/>
  <c r="Y32" i="3" s="1"/>
  <c r="I27" i="3"/>
  <c r="L27" i="3" s="1"/>
  <c r="G28" i="3"/>
  <c r="U33" i="3"/>
  <c r="Q34" i="3" s="1"/>
  <c r="T33" i="3"/>
  <c r="B36" i="3"/>
  <c r="C35" i="3"/>
  <c r="O36" i="3"/>
  <c r="P35" i="3"/>
  <c r="O29" i="4" l="1"/>
  <c r="P28" i="4"/>
  <c r="AJ35" i="3"/>
  <c r="BJ35" i="3"/>
  <c r="AW35" i="3"/>
  <c r="C28" i="4"/>
  <c r="J27" i="4"/>
  <c r="J35" i="3"/>
  <c r="W35" i="3"/>
  <c r="B29" i="4"/>
  <c r="I26" i="4"/>
  <c r="L26" i="4" s="1"/>
  <c r="R26" i="4" s="1"/>
  <c r="G27" i="4"/>
  <c r="Q27" i="4" s="1"/>
  <c r="H27" i="4"/>
  <c r="D28" i="4" s="1"/>
  <c r="BC36" i="3"/>
  <c r="BB37" i="3"/>
  <c r="BI35" i="3"/>
  <c r="BL35" i="3" s="1"/>
  <c r="AU37" i="3"/>
  <c r="AT37" i="3"/>
  <c r="AV35" i="3"/>
  <c r="AY35" i="3" s="1"/>
  <c r="AO37" i="3"/>
  <c r="AP36" i="3"/>
  <c r="AI35" i="3"/>
  <c r="AL35" i="3" s="1"/>
  <c r="AC36" i="3"/>
  <c r="AB37" i="3"/>
  <c r="AH43" i="3"/>
  <c r="AG43" i="3"/>
  <c r="V33" i="3"/>
  <c r="Y33" i="3" s="1"/>
  <c r="I28" i="3"/>
  <c r="L28" i="3" s="1"/>
  <c r="H28" i="3"/>
  <c r="D29" i="3" s="1"/>
  <c r="O37" i="3"/>
  <c r="P36" i="3"/>
  <c r="U34" i="3"/>
  <c r="Q35" i="3" s="1"/>
  <c r="T34" i="3"/>
  <c r="B37" i="3"/>
  <c r="C36" i="3"/>
  <c r="P29" i="4" l="1"/>
  <c r="O30" i="4"/>
  <c r="AJ36" i="3"/>
  <c r="BJ36" i="3"/>
  <c r="AW36" i="3"/>
  <c r="C29" i="4"/>
  <c r="J28" i="4"/>
  <c r="I27" i="4"/>
  <c r="L27" i="4" s="1"/>
  <c r="R27" i="4" s="1"/>
  <c r="J36" i="3"/>
  <c r="W36" i="3"/>
  <c r="G5" i="3"/>
  <c r="H5" i="3" s="1"/>
  <c r="E5" i="3"/>
  <c r="H28" i="4"/>
  <c r="D29" i="4" s="1"/>
  <c r="G28" i="4"/>
  <c r="Q28" i="4" s="1"/>
  <c r="B30" i="4"/>
  <c r="BC37" i="3"/>
  <c r="BB38" i="3"/>
  <c r="BI36" i="3"/>
  <c r="BL36" i="3" s="1"/>
  <c r="AV36" i="3"/>
  <c r="AY36" i="3" s="1"/>
  <c r="AO38" i="3"/>
  <c r="AP37" i="3"/>
  <c r="AU38" i="3"/>
  <c r="AT38" i="3"/>
  <c r="AB38" i="3"/>
  <c r="AC37" i="3"/>
  <c r="AI36" i="3"/>
  <c r="AL36" i="3" s="1"/>
  <c r="V34" i="3"/>
  <c r="Y34" i="3" s="1"/>
  <c r="G29" i="3"/>
  <c r="U35" i="3"/>
  <c r="Q36" i="3" s="1"/>
  <c r="T35" i="3"/>
  <c r="O38" i="3"/>
  <c r="P37" i="3"/>
  <c r="B38" i="3"/>
  <c r="C37" i="3"/>
  <c r="O31" i="4" l="1"/>
  <c r="P30" i="4"/>
  <c r="AJ37" i="3"/>
  <c r="BJ37" i="3"/>
  <c r="AW37" i="3"/>
  <c r="C30" i="4"/>
  <c r="J29" i="4"/>
  <c r="W37" i="3"/>
  <c r="J37" i="3"/>
  <c r="B31" i="4"/>
  <c r="I28" i="4"/>
  <c r="L28" i="4" s="1"/>
  <c r="R28" i="4" s="1"/>
  <c r="H29" i="4"/>
  <c r="D30" i="4" s="1"/>
  <c r="G29" i="4"/>
  <c r="Q29" i="4" s="1"/>
  <c r="BC38" i="3"/>
  <c r="BB39" i="3"/>
  <c r="BI37" i="3"/>
  <c r="BL37" i="3" s="1"/>
  <c r="AT39" i="3"/>
  <c r="AU39" i="3"/>
  <c r="AO39" i="3"/>
  <c r="AP38" i="3"/>
  <c r="AV37" i="3"/>
  <c r="AY37" i="3" s="1"/>
  <c r="AB39" i="3"/>
  <c r="AC38" i="3"/>
  <c r="AI37" i="3"/>
  <c r="AL37" i="3" s="1"/>
  <c r="V35" i="3"/>
  <c r="Y35" i="3" s="1"/>
  <c r="H29" i="3"/>
  <c r="D30" i="3" s="1"/>
  <c r="I29" i="3"/>
  <c r="L29" i="3" s="1"/>
  <c r="B39" i="3"/>
  <c r="C38" i="3"/>
  <c r="O39" i="3"/>
  <c r="P38" i="3"/>
  <c r="U36" i="3"/>
  <c r="Q37" i="3" s="1"/>
  <c r="T36" i="3"/>
  <c r="P31" i="4" l="1"/>
  <c r="O32" i="4"/>
  <c r="AJ38" i="3"/>
  <c r="BJ38" i="3"/>
  <c r="AW38" i="3"/>
  <c r="C31" i="4"/>
  <c r="J30" i="4"/>
  <c r="W38" i="3"/>
  <c r="J38" i="3"/>
  <c r="I29" i="4"/>
  <c r="L29" i="4" s="1"/>
  <c r="R29" i="4" s="1"/>
  <c r="H30" i="4"/>
  <c r="D31" i="4" s="1"/>
  <c r="G30" i="4"/>
  <c r="Q30" i="4" s="1"/>
  <c r="B32" i="4"/>
  <c r="BC39" i="3"/>
  <c r="BB40" i="3"/>
  <c r="BI38" i="3"/>
  <c r="BL38" i="3" s="1"/>
  <c r="AV38" i="3"/>
  <c r="AY38" i="3" s="1"/>
  <c r="AO40" i="3"/>
  <c r="AP39" i="3"/>
  <c r="AU40" i="3"/>
  <c r="AT40" i="3"/>
  <c r="AI38" i="3"/>
  <c r="AL38" i="3" s="1"/>
  <c r="AC39" i="3"/>
  <c r="AB40" i="3"/>
  <c r="V36" i="3"/>
  <c r="Y36" i="3" s="1"/>
  <c r="U37" i="3"/>
  <c r="Q38" i="3" s="1"/>
  <c r="T37" i="3"/>
  <c r="O40" i="3"/>
  <c r="P39" i="3"/>
  <c r="B40" i="3"/>
  <c r="C39" i="3"/>
  <c r="O33" i="4" l="1"/>
  <c r="P32" i="4"/>
  <c r="AJ39" i="3"/>
  <c r="BJ39" i="3"/>
  <c r="AW39" i="3"/>
  <c r="C32" i="4"/>
  <c r="J31" i="4"/>
  <c r="W39" i="3"/>
  <c r="J39" i="3"/>
  <c r="I30" i="4"/>
  <c r="L30" i="4" s="1"/>
  <c r="R30" i="4" s="1"/>
  <c r="B33" i="4"/>
  <c r="G31" i="4"/>
  <c r="Q31" i="4" s="1"/>
  <c r="H31" i="4"/>
  <c r="D32" i="4" s="1"/>
  <c r="BC40" i="3"/>
  <c r="BB41" i="3"/>
  <c r="BI39" i="3"/>
  <c r="BL39" i="3" s="1"/>
  <c r="AO41" i="3"/>
  <c r="AP40" i="3"/>
  <c r="AU41" i="3"/>
  <c r="AT41" i="3"/>
  <c r="AV39" i="3"/>
  <c r="AY39" i="3" s="1"/>
  <c r="AC40" i="3"/>
  <c r="AB41" i="3"/>
  <c r="AI39" i="3"/>
  <c r="AL39" i="3" s="1"/>
  <c r="V37" i="3"/>
  <c r="Y37" i="3" s="1"/>
  <c r="G30" i="3"/>
  <c r="H30" i="3"/>
  <c r="D31" i="3" s="1"/>
  <c r="O41" i="3"/>
  <c r="P40" i="3"/>
  <c r="B41" i="3"/>
  <c r="C40" i="3"/>
  <c r="U38" i="3"/>
  <c r="Q39" i="3" s="1"/>
  <c r="T38" i="3"/>
  <c r="O34" i="4" l="1"/>
  <c r="P33" i="4"/>
  <c r="AJ40" i="3"/>
  <c r="BJ40" i="3"/>
  <c r="AW40" i="3"/>
  <c r="C33" i="4"/>
  <c r="J32" i="4"/>
  <c r="J40" i="3"/>
  <c r="W40" i="3"/>
  <c r="H32" i="4"/>
  <c r="D33" i="4" s="1"/>
  <c r="G32" i="4"/>
  <c r="Q32" i="4" s="1"/>
  <c r="B34" i="4"/>
  <c r="I31" i="4"/>
  <c r="L31" i="4" s="1"/>
  <c r="R31" i="4" s="1"/>
  <c r="BI40" i="3"/>
  <c r="BL40" i="3" s="1"/>
  <c r="BC41" i="3"/>
  <c r="BB42" i="3"/>
  <c r="AU42" i="3"/>
  <c r="AT42" i="3"/>
  <c r="AV40" i="3"/>
  <c r="AY40" i="3" s="1"/>
  <c r="AO42" i="3"/>
  <c r="AP41" i="3"/>
  <c r="AB42" i="3"/>
  <c r="AC41" i="3"/>
  <c r="AI40" i="3"/>
  <c r="AL40" i="3" s="1"/>
  <c r="V38" i="3"/>
  <c r="Y38" i="3" s="1"/>
  <c r="I30" i="3"/>
  <c r="L30" i="3" s="1"/>
  <c r="H31" i="3"/>
  <c r="U39" i="3"/>
  <c r="Q40" i="3" s="1"/>
  <c r="T39" i="3"/>
  <c r="B42" i="3"/>
  <c r="C41" i="3"/>
  <c r="O42" i="3"/>
  <c r="P41" i="3"/>
  <c r="P34" i="4" l="1"/>
  <c r="Q34" i="4"/>
  <c r="AJ41" i="3"/>
  <c r="BJ41" i="3"/>
  <c r="AW41" i="3"/>
  <c r="C34" i="4"/>
  <c r="J33" i="4"/>
  <c r="J41" i="3"/>
  <c r="W41" i="3"/>
  <c r="I32" i="4"/>
  <c r="L32" i="4" s="1"/>
  <c r="R32" i="4" s="1"/>
  <c r="H33" i="4"/>
  <c r="D34" i="4" s="1"/>
  <c r="G33" i="4"/>
  <c r="Q33" i="4" s="1"/>
  <c r="BC42" i="3"/>
  <c r="BB43" i="3"/>
  <c r="BC43" i="3" s="1"/>
  <c r="BI41" i="3"/>
  <c r="BL41" i="3" s="1"/>
  <c r="AT43" i="3"/>
  <c r="AU43" i="3"/>
  <c r="AV41" i="3"/>
  <c r="AY41" i="3" s="1"/>
  <c r="AO43" i="3"/>
  <c r="AP43" i="3" s="1"/>
  <c r="AP42" i="3"/>
  <c r="AI41" i="3"/>
  <c r="AL41" i="3" s="1"/>
  <c r="AB43" i="3"/>
  <c r="AC43" i="3" s="1"/>
  <c r="AC42" i="3"/>
  <c r="V39" i="3"/>
  <c r="Y39" i="3" s="1"/>
  <c r="G31" i="3"/>
  <c r="D32" i="3"/>
  <c r="B43" i="3"/>
  <c r="C43" i="3" s="1"/>
  <c r="C42" i="3"/>
  <c r="O43" i="3"/>
  <c r="P43" i="3" s="1"/>
  <c r="P42" i="3"/>
  <c r="U40" i="3"/>
  <c r="Q41" i="3" s="1"/>
  <c r="T40" i="3"/>
  <c r="R34" i="4" l="1"/>
  <c r="R2" i="4"/>
  <c r="J34" i="4"/>
  <c r="AJ42" i="3"/>
  <c r="AJ43" i="3"/>
  <c r="BJ43" i="3"/>
  <c r="BJ42" i="3"/>
  <c r="AW43" i="3"/>
  <c r="AW42" i="3"/>
  <c r="J43" i="3"/>
  <c r="W42" i="3"/>
  <c r="W43" i="3"/>
  <c r="J42" i="3"/>
  <c r="G6" i="3"/>
  <c r="H6" i="3" s="1"/>
  <c r="E6" i="3"/>
  <c r="H34" i="4"/>
  <c r="G34" i="4"/>
  <c r="I33" i="4"/>
  <c r="L33" i="4" s="1"/>
  <c r="R33" i="4" s="1"/>
  <c r="BI42" i="3"/>
  <c r="BI43" i="3" s="1"/>
  <c r="BL43" i="3" s="1"/>
  <c r="AV42" i="3"/>
  <c r="AY42" i="3" s="1"/>
  <c r="AI42" i="3"/>
  <c r="AI43" i="3" s="1"/>
  <c r="AL43" i="3" s="1"/>
  <c r="V40" i="3"/>
  <c r="Y40" i="3" s="1"/>
  <c r="I31" i="3"/>
  <c r="L31" i="3" s="1"/>
  <c r="H32" i="3"/>
  <c r="U41" i="3"/>
  <c r="Q42" i="3" s="1"/>
  <c r="T41" i="3"/>
  <c r="AL42" i="3" l="1"/>
  <c r="BL42" i="3"/>
  <c r="BK43" i="3"/>
  <c r="AK43" i="3"/>
  <c r="AX43" i="3"/>
  <c r="K34" i="4"/>
  <c r="I34" i="4"/>
  <c r="L34" i="4" s="1"/>
  <c r="F7" i="3"/>
  <c r="F5" i="3"/>
  <c r="AV43" i="3"/>
  <c r="AY43" i="3" s="1"/>
  <c r="V41" i="3"/>
  <c r="Y41" i="3" s="1"/>
  <c r="G32" i="3"/>
  <c r="D33" i="3"/>
  <c r="U42" i="3"/>
  <c r="Q43" i="3" s="1"/>
  <c r="T42" i="3"/>
  <c r="M34" i="4" l="1"/>
  <c r="F6" i="3"/>
  <c r="V42" i="3"/>
  <c r="Y42" i="3" s="1"/>
  <c r="I32" i="3"/>
  <c r="L32" i="3" s="1"/>
  <c r="H33" i="3"/>
  <c r="U43" i="3"/>
  <c r="T43" i="3"/>
  <c r="X43" i="3" s="1"/>
  <c r="G4" i="3" l="1"/>
  <c r="H4" i="3" s="1"/>
  <c r="V43" i="3"/>
  <c r="Y43" i="3" s="1"/>
  <c r="G33" i="3"/>
  <c r="D34" i="3"/>
  <c r="I33" i="3" l="1"/>
  <c r="L33" i="3" s="1"/>
  <c r="H34" i="3"/>
  <c r="G34" i="3" l="1"/>
  <c r="D35" i="3"/>
  <c r="I34" i="3" l="1"/>
  <c r="L34" i="3" s="1"/>
  <c r="H35" i="3"/>
  <c r="G35" i="3" l="1"/>
  <c r="D36" i="3"/>
  <c r="I35" i="3" l="1"/>
  <c r="L35" i="3" s="1"/>
  <c r="G36" i="3" l="1"/>
  <c r="H36" i="3"/>
  <c r="I36" i="3" l="1"/>
  <c r="L36" i="3" s="1"/>
  <c r="D37" i="3"/>
  <c r="G37" i="3" l="1"/>
  <c r="H37" i="3" l="1"/>
  <c r="I37" i="3"/>
  <c r="L37" i="3" s="1"/>
  <c r="D38" i="3" l="1"/>
  <c r="G38" i="3" l="1"/>
  <c r="H38" i="3" l="1"/>
  <c r="I38" i="3"/>
  <c r="L38" i="3" s="1"/>
  <c r="D39" i="3" l="1"/>
  <c r="G39" i="3" l="1"/>
  <c r="H39" i="3" l="1"/>
  <c r="I39" i="3"/>
  <c r="L39" i="3" s="1"/>
  <c r="D40" i="3" l="1"/>
  <c r="H40" i="3" l="1"/>
  <c r="D41" i="3" l="1"/>
  <c r="G40" i="3"/>
  <c r="I40" i="3" l="1"/>
  <c r="L40" i="3" s="1"/>
  <c r="H41" i="3"/>
  <c r="G41" i="3"/>
  <c r="I41" i="3" l="1"/>
  <c r="L41" i="3" s="1"/>
  <c r="D42" i="3"/>
  <c r="H42" i="3" l="1"/>
  <c r="G42" i="3"/>
  <c r="I42" i="3" l="1"/>
  <c r="L42" i="3" s="1"/>
  <c r="D43" i="3"/>
  <c r="H43" i="3" l="1"/>
  <c r="G43" i="3" l="1"/>
  <c r="K43" i="3" s="1"/>
  <c r="E44" i="3"/>
  <c r="Z43" i="3" l="1"/>
  <c r="G3" i="3"/>
  <c r="H3" i="3" s="1"/>
  <c r="AZ43" i="3"/>
  <c r="F4" i="3"/>
  <c r="G46" i="3"/>
  <c r="I43" i="3"/>
  <c r="L43" i="3" s="1"/>
  <c r="AM43" i="3" l="1"/>
  <c r="I5" i="3" s="1"/>
  <c r="I4" i="3"/>
  <c r="M43" i="3"/>
  <c r="I3" i="3" s="1"/>
  <c r="F3" i="3"/>
  <c r="BM43" i="3"/>
  <c r="I7" i="3" s="1"/>
  <c r="I6" i="3"/>
  <c r="G47" i="3"/>
</calcChain>
</file>

<file path=xl/sharedStrings.xml><?xml version="1.0" encoding="utf-8"?>
<sst xmlns="http://schemas.openxmlformats.org/spreadsheetml/2006/main" count="100" uniqueCount="33">
  <si>
    <t>Starting</t>
  </si>
  <si>
    <t>Return</t>
  </si>
  <si>
    <t>$Return</t>
  </si>
  <si>
    <t>Ending</t>
  </si>
  <si>
    <t>Inflows</t>
  </si>
  <si>
    <t>Day</t>
  </si>
  <si>
    <t>Date</t>
  </si>
  <si>
    <t>Total</t>
  </si>
  <si>
    <t>Sharpe</t>
  </si>
  <si>
    <t>Net Big Returns, But Volatile</t>
  </si>
  <si>
    <t>High Sharpe, Small Gains</t>
  </si>
  <si>
    <t>Random Walk #1</t>
  </si>
  <si>
    <t>Win Ratio</t>
  </si>
  <si>
    <t>LTD Index</t>
  </si>
  <si>
    <t>Day Weight</t>
  </si>
  <si>
    <t>Index</t>
  </si>
  <si>
    <t>exp avg</t>
  </si>
  <si>
    <t>arithmetic avg</t>
  </si>
  <si>
    <t>Wgt. Avg.Return</t>
  </si>
  <si>
    <t>Max 7d DD</t>
  </si>
  <si>
    <t>Ranking</t>
  </si>
  <si>
    <t>Measure</t>
  </si>
  <si>
    <t>Av. Return</t>
  </si>
  <si>
    <t>Weight</t>
  </si>
  <si>
    <t>(8-30)</t>
  </si>
  <si>
    <t>7d DD</t>
  </si>
  <si>
    <t>Measurement Date</t>
  </si>
  <si>
    <t>Score</t>
  </si>
  <si>
    <t>Day 30 Measurement</t>
  </si>
  <si>
    <t>First 30 Days of Bot</t>
  </si>
  <si>
    <t>Good 30 Days of Bot</t>
  </si>
  <si>
    <t>Bot, First 30 Days</t>
  </si>
  <si>
    <t>Bot, Random 30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</si>
</sst>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ddmmmyy"/>
    <numFmt numFmtId="166" formatCode="0.00%;[Red]\(0.00%\)"/>
    <numFmt numFmtId="167" formatCode="_(* #,##0.0000_);_(* \(#,##0.0000\);_(* &quot;-&quot;??_);_(@_)"/>
    <numFmt numFmtId="168" formatCode="0.00\x;[Red]\(0.00\x\)"/>
    <numFmt numFmtId="169" formatCode="_(* #,##0.000_);_(* \(#,##0.000\);_(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/>
      <sz val="11"/>
      <color rgb="FFC00000"/>
      <name val="Aptos Narrow"/>
      <family val="2"/>
      <scheme val="minor"/>
    </font>
    <font>
      <b/>
      <sz val="1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43" fontId="0" fillId="0" borderId="0" xfId="0" applyNumberFormat="1"/>
    <xf numFmtId="165" fontId="0" fillId="0" borderId="0" xfId="0" applyNumberFormat="1"/>
    <xf numFmtId="166" fontId="0" fillId="0" borderId="0" xfId="2" applyNumberFormat="1" applyFont="1"/>
    <xf numFmtId="38" fontId="0" fillId="0" borderId="0" xfId="1" applyNumberFormat="1" applyFont="1"/>
    <xf numFmtId="167" fontId="0" fillId="0" borderId="0" xfId="1" applyNumberFormat="1" applyFont="1"/>
    <xf numFmtId="0" fontId="5" fillId="0" borderId="0" xfId="0" applyFont="1"/>
    <xf numFmtId="167" fontId="0" fillId="0" borderId="0" xfId="0" applyNumberFormat="1"/>
    <xf numFmtId="0" fontId="2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43" fontId="1" fillId="0" borderId="0" xfId="1" applyFont="1"/>
    <xf numFmtId="9" fontId="3" fillId="0" borderId="0" xfId="2" applyFont="1"/>
    <xf numFmtId="9" fontId="0" fillId="0" borderId="0" xfId="0" applyNumberFormat="1"/>
    <xf numFmtId="9" fontId="2" fillId="0" borderId="0" xfId="0" applyNumberFormat="1" applyFont="1"/>
    <xf numFmtId="38" fontId="0" fillId="0" borderId="0" xfId="0" applyNumberFormat="1"/>
    <xf numFmtId="166" fontId="0" fillId="0" borderId="0" xfId="0" applyNumberFormat="1"/>
    <xf numFmtId="43" fontId="0" fillId="0" borderId="0" xfId="1" applyFont="1"/>
    <xf numFmtId="168" fontId="2" fillId="0" borderId="0" xfId="1" applyNumberFormat="1" applyFont="1" applyAlignment="1"/>
    <xf numFmtId="168" fontId="2" fillId="2" borderId="0" xfId="1" applyNumberFormat="1" applyFont="1" applyFill="1" applyAlignment="1"/>
    <xf numFmtId="0" fontId="0" fillId="0" borderId="0" xfId="0" applyAlignment="1">
      <alignment horizontal="center"/>
    </xf>
    <xf numFmtId="0" fontId="0" fillId="0" borderId="1" xfId="0" applyBorder="1"/>
    <xf numFmtId="10" fontId="0" fillId="0" borderId="2" xfId="2" applyNumberFormat="1" applyFont="1" applyBorder="1"/>
    <xf numFmtId="0" fontId="0" fillId="0" borderId="3" xfId="0" applyBorder="1"/>
    <xf numFmtId="166" fontId="0" fillId="0" borderId="4" xfId="0" applyNumberFormat="1" applyBorder="1"/>
    <xf numFmtId="0" fontId="4" fillId="0" borderId="0" xfId="0" applyFont="1"/>
    <xf numFmtId="166" fontId="0" fillId="0" borderId="0" xfId="2" applyNumberFormat="1" applyFont="1" applyFill="1" applyBorder="1"/>
    <xf numFmtId="169" fontId="0" fillId="0" borderId="0" xfId="1" applyNumberFormat="1" applyFont="1"/>
    <xf numFmtId="0" fontId="3" fillId="2" borderId="0" xfId="0" applyFont="1" applyFill="1"/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166" fontId="0" fillId="0" borderId="0" xfId="2" applyNumberFormat="1" applyFont="1" applyBorder="1"/>
    <xf numFmtId="0" fontId="4" fillId="0" borderId="0" xfId="0" applyFont="1" applyAlignment="1">
      <alignment horizontal="center"/>
    </xf>
    <xf numFmtId="169" fontId="2" fillId="0" borderId="0" xfId="1" applyNumberFormat="1" applyFont="1"/>
    <xf numFmtId="43" fontId="6" fillId="3" borderId="0" xfId="2" applyNumberFormat="1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106">
    <dxf>
      <numFmt numFmtId="13" formatCode="0%"/>
    </dxf>
    <dxf>
      <numFmt numFmtId="168" formatCode="0.00\x;[Red]\(0.00\x\)"/>
    </dxf>
    <dxf>
      <numFmt numFmtId="164" formatCode="_(* #,##0_);_(* \(#,##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0%;[Red]\(0.00%\)"/>
    </dxf>
    <dxf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0%;[Red]\(0.00%\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0%;[Red]\(0.00%\)"/>
    </dxf>
    <dxf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6" formatCode="#,##0_);[Red]\(#,##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numFmt numFmtId="165" formatCode="ddmmmyy"/>
    </dxf>
    <dxf>
      <numFmt numFmtId="13" formatCode="0%"/>
    </dxf>
    <dxf>
      <numFmt numFmtId="168" formatCode="0.00\x;[Red]\(0.00\x\)"/>
    </dxf>
    <dxf>
      <numFmt numFmtId="164" formatCode="_(* #,##0_);_(* \(#,##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0%;[Red]\(0.00%\)"/>
    </dxf>
    <dxf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0%;[Red]\(0.00%\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0%;[Red]\(0.00%\)"/>
    </dxf>
    <dxf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6" formatCode="#,##0_);[Red]\(#,##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numFmt numFmtId="165" formatCode="ddmmmyy"/>
    </dxf>
    <dxf>
      <numFmt numFmtId="13" formatCode="0%"/>
    </dxf>
    <dxf>
      <numFmt numFmtId="168" formatCode="0.00\x;[Red]\(0.00\x\)"/>
    </dxf>
    <dxf>
      <numFmt numFmtId="164" formatCode="_(* #,##0_);_(* \(#,##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0%;[Red]\(0.00%\)"/>
    </dxf>
    <dxf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0%;[Red]\(0.00%\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0%;[Red]\(0.00%\)"/>
    </dxf>
    <dxf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6" formatCode="#,##0_);[Red]\(#,##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numFmt numFmtId="165" formatCode="ddmmmyy"/>
    </dxf>
    <dxf>
      <numFmt numFmtId="13" formatCode="0%"/>
    </dxf>
    <dxf>
      <numFmt numFmtId="168" formatCode="0.00\x;[Red]\(0.00\x\)"/>
    </dxf>
    <dxf>
      <numFmt numFmtId="164" formatCode="_(* #,##0_);_(* \(#,##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0%;[Red]\(0.00%\)"/>
    </dxf>
    <dxf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0%;[Red]\(0.00%\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0%;[Red]\(0.00%\)"/>
    </dxf>
    <dxf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6" formatCode="#,##0_);[Red]\(#,##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numFmt numFmtId="165" formatCode="ddmmmyy"/>
    </dxf>
    <dxf>
      <numFmt numFmtId="164" formatCode="_(* #,##0_);_(* \(#,##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8" formatCode="0.00\x;[Red]\(0.00\x\)"/>
      <alignment horizontal="general" vertical="bottom" textRotation="0" wrapText="0" indent="0" justifyLastLine="0" shrinkToFit="0" readingOrder="0"/>
    </dxf>
    <dxf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0%;[Red]\(0.00%\)"/>
    </dxf>
    <dxf>
      <numFmt numFmtId="164" formatCode="_(* #,##0_);_(* \(#,##0\);_(* &quot;-&quot;??_);_(@_)"/>
    </dxf>
    <dxf>
      <numFmt numFmtId="166" formatCode="0.00%;[Red]\(0.00%\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0%;[Red]\(0.00%\)"/>
    </dxf>
    <dxf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numFmt numFmtId="6" formatCode="#,##0_);[Red]\(#,##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6" formatCode="#,##0_);[Red]\(#,##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numFmt numFmtId="165" formatCode="ddmmmyy"/>
    </dxf>
    <dxf>
      <numFmt numFmtId="164" formatCode="_(* #,##0_);_(* \(#,##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8" formatCode="0.00\x;[Red]\(0.00\x\)"/>
      <alignment horizontal="general" vertical="bottom" textRotation="0" wrapText="0" indent="0" justifyLastLine="0" shrinkToFit="0" readingOrder="0"/>
    </dxf>
    <dxf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0%;[Red]\(0.00%\)"/>
    </dxf>
    <dxf>
      <numFmt numFmtId="164" formatCode="_(* #,##0_);_(* \(#,##0\);_(* &quot;-&quot;??_);_(@_)"/>
    </dxf>
    <dxf>
      <numFmt numFmtId="166" formatCode="0.00%;[Red]\(0.00%\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0%;[Red]\(0.00%\)"/>
    </dxf>
    <dxf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numFmt numFmtId="6" formatCode="#,##0_);[Red]\(#,##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6" formatCode="#,##0_);[Red]\(#,##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numFmt numFmtId="165" formatCode="ddmmmyy"/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FCBCA83-DCFF-4E4A-9A6E-170D3A9ACD21}" name="Table1310" displayName="Table1310" ref="B13:M44" totalsRowCount="1">
  <autoFilter ref="B13:M43" xr:uid="{EB6F6861-5078-4F72-A80D-ADF4F44162C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578B01D2-1E42-4472-9C64-856F236DB71A}" name="Date" totalsRowLabel="Total" dataDxfId="88">
      <calculatedColumnFormula>B13+1</calculatedColumnFormula>
    </tableColumn>
    <tableColumn id="2" xr3:uid="{7DBD9CE7-863D-4BB1-B9AB-6317C2451B88}" name="Day">
      <calculatedColumnFormula>B14-$B$14+1</calculatedColumnFormula>
    </tableColumn>
    <tableColumn id="3" xr3:uid="{A6C76D2C-D63E-4B7D-8E72-A93882FE991B}" name="Starting" dataDxfId="87" dataCellStyle="Comma">
      <calculatedColumnFormula>H13</calculatedColumnFormula>
    </tableColumn>
    <tableColumn id="4" xr3:uid="{6867BE50-7B9F-4D28-8608-DFA5ED8A485A}" name="$Return" totalsRowFunction="sum" dataDxfId="86" totalsRowDxfId="85" dataCellStyle="Comma"/>
    <tableColumn id="5" xr3:uid="{B18AD9BC-F301-4C48-973D-DF71FDDF2A15}" name="Inflows" totalsRowFunction="sum" dataDxfId="84" totalsRowDxfId="83" dataCellStyle="Comma"/>
    <tableColumn id="6" xr3:uid="{A052039A-1D01-4A81-9D17-4618865B9ED7}" name="Return" dataDxfId="82" totalsRowDxfId="81" dataCellStyle="Percent">
      <calculatedColumnFormula>Table1310[[#This Row],[$Return]]/AVERAGE(Table1310[[#This Row],[Starting]],Table1310[[#This Row],[Starting]]+Table1310[[#This Row],[Inflows]])</calculatedColumnFormula>
    </tableColumn>
    <tableColumn id="8" xr3:uid="{7BAF2B65-837E-40E0-8DFE-8585EFCB8724}" name="Ending" dataDxfId="80">
      <calculatedColumnFormula>D14+E14+F14</calculatedColumnFormula>
    </tableColumn>
    <tableColumn id="7" xr3:uid="{C837EDB1-D4B0-4935-9001-8F794985B38A}" name="Index" dataDxfId="79" dataCellStyle="Comma">
      <calculatedColumnFormula>IF(Table1310[[#This Row],[Day]]=1,100,I13*(1+Table1310[[#This Row],[Return]]))</calculatedColumnFormula>
    </tableColumn>
    <tableColumn id="9" xr3:uid="{130D896A-668F-4D51-9350-F71091815E04}" name="Day Weight" dataDxfId="78">
      <calculatedColumnFormula>EXP(-((30-Table1310[[#This Row],[Day]])/30))</calculatedColumnFormula>
    </tableColumn>
    <tableColumn id="11" xr3:uid="{F26105E9-AED3-4BCB-8D20-8A8D8D73E39A}" name="Wgt. Avg.Return" dataDxfId="77" totalsRowDxfId="76" dataCellStyle="Percent">
      <calculatedColumnFormula>SUMPRODUCT(Table1310[Return],Table1310[Day Weight])/SUM(Table1310[Day Weight])</calculatedColumnFormula>
    </tableColumn>
    <tableColumn id="18" xr3:uid="{EA68539D-0653-4245-83D1-98324C354586}" name="Max 7d DD" dataDxfId="75" totalsRowDxfId="74" dataCellStyle="Percent">
      <calculatedColumnFormula>IF(Table1310[[#This Row],[Day]]&lt;=7,"",MIN(IF(I14&lt;MAX(I7:I13),I14/MAX(I7:I13)-1,-1%),-1%))</calculatedColumnFormula>
    </tableColumn>
    <tableColumn id="15" xr3:uid="{2645FE4D-2F54-4489-BAA2-0B99EFFDC98A}" name="Ranking" dataDxfId="73" totalsRowDxfId="72" dataCellStyle="Comma">
      <calculatedColumnFormula>IF(Table1310[[#This Row],[Day]]&lt;=7,"NM",ABS(#REF!/Table1310[[#This Row],[Max 7d DD]]))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6B4DFD6-37D8-4D61-A356-1A7CEE35F9BB}" name="Table13411" displayName="Table13411" ref="O13:Z44" totalsRowCount="1">
  <autoFilter ref="O13:Z43" xr:uid="{4F3BBC76-2154-4F0A-B8D0-C8B46EF26F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30FC18E2-AC79-4E04-800C-7830F6BE484E}" name="Date" totalsRowLabel="Total" dataDxfId="71">
      <calculatedColumnFormula>O13+1</calculatedColumnFormula>
    </tableColumn>
    <tableColumn id="2" xr3:uid="{9DB6F8F2-359F-494A-84FC-88C47D635F2C}" name="Day">
      <calculatedColumnFormula>O14-$B$14+1</calculatedColumnFormula>
    </tableColumn>
    <tableColumn id="3" xr3:uid="{7615CD7C-0890-4A8D-B4E6-8AD3A2EFE6A1}" name="Starting" dataDxfId="70" dataCellStyle="Comma">
      <calculatedColumnFormula>U13</calculatedColumnFormula>
    </tableColumn>
    <tableColumn id="4" xr3:uid="{AB712644-7F71-410C-9136-A56018FC3EFC}" name="$Return" totalsRowFunction="sum" dataDxfId="69" totalsRowDxfId="68" dataCellStyle="Comma"/>
    <tableColumn id="5" xr3:uid="{EEB0C13D-BEDF-4E37-A656-B1AD2B5544A3}" name="Inflows" totalsRowFunction="sum" dataDxfId="67" totalsRowDxfId="66" dataCellStyle="Comma"/>
    <tableColumn id="6" xr3:uid="{6D25F786-9231-4E93-9712-2D7A1EB253B7}" name="Return" dataDxfId="65" totalsRowDxfId="64" dataCellStyle="Percent">
      <calculatedColumnFormula>Table13411[[#This Row],[$Return]]/AVERAGE(Table13411[[#This Row],[Starting]],Table13411[[#This Row],[Starting]]+Table13411[[#This Row],[Inflows]])</calculatedColumnFormula>
    </tableColumn>
    <tableColumn id="8" xr3:uid="{DCA08614-7A39-4FB4-B0B4-69F0BFAA8727}" name="Ending" dataDxfId="63">
      <calculatedColumnFormula>Q14+R14+S14</calculatedColumnFormula>
    </tableColumn>
    <tableColumn id="9" xr3:uid="{3FB184BE-E3D6-436F-BE8B-A5FC4711D6F9}" name="Index" dataDxfId="62">
      <calculatedColumnFormula>IF(Table1310[[#This Row],[Day]]=1,100,V13*(1+Table1310[[#This Row],[Return]]))</calculatedColumnFormula>
    </tableColumn>
    <tableColumn id="11" xr3:uid="{1419AD58-6367-427F-BFEF-F6BB96F3849B}" name="Day Weight" dataDxfId="61" totalsRowDxfId="60" dataCellStyle="Comma">
      <calculatedColumnFormula>EXP(-((30-Table13411[[#This Row],[Day]])/30))</calculatedColumnFormula>
    </tableColumn>
    <tableColumn id="17" xr3:uid="{23D6EA78-D229-461E-B71C-928A74A3FD86}" name="Wgt. Avg.Return" dataDxfId="59" totalsRowDxfId="58" dataCellStyle="Comma">
      <calculatedColumnFormula>SUMPRODUCT(Table13411[Return],Table13411[Day Weight])/SUM(Table13411[Day Weight])</calculatedColumnFormula>
    </tableColumn>
    <tableColumn id="15" xr3:uid="{472D0206-BF3A-40C8-833E-B38074D433EF}" name="Max 7d DD" dataDxfId="57" totalsRowDxfId="56" dataCellStyle="Comma">
      <calculatedColumnFormula>IF(Table13411[[#This Row],[Day]]&lt;=7,"",MIN(IF(V14&lt;MAX(W7:W13),V14/MAX(W7:W13)-1,-1%),-1%))</calculatedColumnFormula>
    </tableColumn>
    <tableColumn id="10" xr3:uid="{AF89B172-D793-4614-A194-AA217115B567}" name="Ranking" dataDxfId="55" totalsRowDxfId="54">
      <calculatedColumnFormula>IF(Table1310[[#This Row],[Day]]&lt;=7,"NM",Table1310[[#This Row],[Wgt. Avg.Return]]/ABS(Table1310[[#This Row],[Max 7d DD]]))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833A494-6E6C-423E-886F-F9B8DB8937C8}" name="Table1341112" displayName="Table1341112" ref="AB13:AM44" totalsRowCount="1">
  <tableColumns count="12">
    <tableColumn id="1" xr3:uid="{46113EF6-3FD1-4D7D-9B62-02A219A6892F}" name="Date" totalsRowLabel="Total" dataDxfId="53">
      <calculatedColumnFormula>AB13+1</calculatedColumnFormula>
    </tableColumn>
    <tableColumn id="2" xr3:uid="{792AC508-65FD-4E2C-9EB5-5B27D0E9C3BA}" name="Day">
      <calculatedColumnFormula>AB14-$B$14+1</calculatedColumnFormula>
    </tableColumn>
    <tableColumn id="3" xr3:uid="{0CD28E71-C21B-4BE2-89A6-D23C734250B2}" name="Starting" dataDxfId="52" dataCellStyle="Comma">
      <calculatedColumnFormula>AH13</calculatedColumnFormula>
    </tableColumn>
    <tableColumn id="4" xr3:uid="{2A0FFA61-029B-4C90-8E43-92F6EC80E8E4}" name="$Return" totalsRowFunction="sum" dataDxfId="51" totalsRowDxfId="50" dataCellStyle="Comma"/>
    <tableColumn id="5" xr3:uid="{BBD461E9-1004-4888-9BC2-0344A364CFFB}" name="Inflows" totalsRowFunction="sum" dataDxfId="49" totalsRowDxfId="48" dataCellStyle="Comma">
      <calculatedColumnFormula>RANDBETWEEN(0,100)</calculatedColumnFormula>
    </tableColumn>
    <tableColumn id="6" xr3:uid="{9C270195-1FF8-4AEF-8E13-2B261BC9DD7B}" name="Return" dataDxfId="47" totalsRowDxfId="46" dataCellStyle="Percent">
      <calculatedColumnFormula>Table1341112[[#This Row],[$Return]]/AVERAGE(Table1341112[[#This Row],[Starting]],Table1341112[[#This Row],[Starting]]+Table1341112[[#This Row],[Inflows]])</calculatedColumnFormula>
    </tableColumn>
    <tableColumn id="8" xr3:uid="{EBFA5D49-D80B-470B-B767-3420FF1D6742}" name="Ending" dataDxfId="45">
      <calculatedColumnFormula>AD14+AE14+AF14</calculatedColumnFormula>
    </tableColumn>
    <tableColumn id="9" xr3:uid="{D12437A2-78A1-4D56-AE64-4C05B0056821}" name="Index" dataDxfId="44">
      <calculatedColumnFormula>IF(Table1341112[[#This Row],[Day]]=1,100,AI13*(1+Table1341112[[#This Row],[Return]]))</calculatedColumnFormula>
    </tableColumn>
    <tableColumn id="11" xr3:uid="{6353F16A-1440-430F-A25C-967302D538C0}" name="Day Weight" dataDxfId="43" totalsRowDxfId="42" dataCellStyle="Comma">
      <calculatedColumnFormula>EXP(-((30-Table1341112[[#This Row],[Day]])/30))</calculatedColumnFormula>
    </tableColumn>
    <tableColumn id="17" xr3:uid="{9E45567B-AB8F-4AD6-9A7B-DFCA3EDEBD24}" name="Wgt. Avg.Return" dataDxfId="41" totalsRowDxfId="40" dataCellStyle="Comma">
      <calculatedColumnFormula>SUMPRODUCT(Table1341112[Return],Table1341112[Day Weight])/SUM(Table1341112[Day Weight])</calculatedColumnFormula>
    </tableColumn>
    <tableColumn id="15" xr3:uid="{014FBC3F-87B0-4CEF-A2E5-1274511F26BB}" name="Max 7d DD" dataDxfId="39" totalsRowDxfId="38" dataCellStyle="Comma">
      <calculatedColumnFormula>IF(Table1341112[[#This Row],[Day]]&lt;=7,"",MIN(IF(AI14&lt;MAX(AK7:AK13),AI14/MAX(AK7:AK13)-1,-1%),-1%))</calculatedColumnFormula>
    </tableColumn>
    <tableColumn id="10" xr3:uid="{653878D2-FBAE-4A67-A5E6-A683515297CA}" name="Ranking" dataDxfId="37" totalsRowDxfId="36">
      <calculatedColumnFormula>IF(Table1310[[#This Row],[Day]]&lt;=7,"NM",Table1310[[#This Row],[Wgt. Avg.Return]]/ABS(Table1310[[#This Row],[Max 7d DD]]))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E5E7225-F0DA-46B1-B102-75D61B73EF66}" name="Table134111213" displayName="Table134111213" ref="AO13:AZ44" totalsRowCount="1">
  <tableColumns count="12">
    <tableColumn id="1" xr3:uid="{09C48555-BAE4-48C5-80AA-4587FE706C82}" name="Date" totalsRowLabel="Total" dataDxfId="35">
      <calculatedColumnFormula>AO13+1</calculatedColumnFormula>
    </tableColumn>
    <tableColumn id="2" xr3:uid="{890597B7-C2B2-4C74-B97F-0E0AFF2EFC98}" name="Day">
      <calculatedColumnFormula>AO14-$B$14+1</calculatedColumnFormula>
    </tableColumn>
    <tableColumn id="3" xr3:uid="{6CEE6529-E5A5-4F98-9AAA-33DE5B900CD5}" name="Starting" dataDxfId="34" dataCellStyle="Comma"/>
    <tableColumn id="4" xr3:uid="{5FFA6D4C-26E3-420B-B2A1-41A8272CC98A}" name="$Return" totalsRowFunction="sum" dataDxfId="33" totalsRowDxfId="32" dataCellStyle="Comma"/>
    <tableColumn id="5" xr3:uid="{D0F4DE9F-EB16-499B-A304-40EF92595AA7}" name="Inflows" totalsRowFunction="sum" dataDxfId="31" totalsRowDxfId="30" dataCellStyle="Comma"/>
    <tableColumn id="6" xr3:uid="{43D77C73-9F19-40EC-A48E-9B882C19BA8C}" name="Return" dataDxfId="29" totalsRowDxfId="28" dataCellStyle="Percent">
      <calculatedColumnFormula>Table134111213[[#This Row],[$Return]]/AVERAGE(Table134111213[[#This Row],[Starting]],Table134111213[[#This Row],[Starting]]+Table134111213[[#This Row],[Inflows]])</calculatedColumnFormula>
    </tableColumn>
    <tableColumn id="8" xr3:uid="{4CBF34DC-82A3-4225-BA9B-3A89C4415FFC}" name="Ending" dataDxfId="27">
      <calculatedColumnFormula>AQ14+AR14+AS14</calculatedColumnFormula>
    </tableColumn>
    <tableColumn id="9" xr3:uid="{F75725FB-7D67-48E5-9289-AA094B021FE5}" name="Index" dataDxfId="26">
      <calculatedColumnFormula>IF(Table134111213[[#This Row],[Day]]=1,100,AV13*(1+Table134111213[[#This Row],[Return]]))</calculatedColumnFormula>
    </tableColumn>
    <tableColumn id="11" xr3:uid="{22CB7FA1-C59D-452C-85CE-F1E60C2E1E06}" name="Day Weight" dataDxfId="25" totalsRowDxfId="24" dataCellStyle="Comma">
      <calculatedColumnFormula>EXP(-((30-Table134111213[[#This Row],[Day]])/30))</calculatedColumnFormula>
    </tableColumn>
    <tableColumn id="17" xr3:uid="{13EEA633-C79D-4E38-A26D-96F71512E199}" name="Wgt. Avg.Return" dataDxfId="23" totalsRowDxfId="22" dataCellStyle="Comma">
      <calculatedColumnFormula>SUMPRODUCT(Table134111213[Return],Table134111213[Day Weight])/SUM(Table134111213[Day Weight])</calculatedColumnFormula>
    </tableColumn>
    <tableColumn id="15" xr3:uid="{54206834-C8C3-48B6-B043-59B270CAF3F0}" name="Max 7d DD" dataDxfId="21" totalsRowDxfId="20" dataCellStyle="Comma">
      <calculatedColumnFormula>IF(Table134111213[[#This Row],[Day]]&lt;=7,"",MIN(IF(AV14&lt;MAX(AX7:AX13),AV14/MAX(AX7:AX13)-1,-1%),-1%))</calculatedColumnFormula>
    </tableColumn>
    <tableColumn id="10" xr3:uid="{7C743351-D6CD-48F9-A30C-DB5824BAEE05}" name="Ranking" dataDxfId="19" totalsRowDxfId="18">
      <calculatedColumnFormula>IF(Table1310[[#This Row],[Day]]&lt;=7,"NM",Table1310[[#This Row],[Wgt. Avg.Return]]/ABS(Table1310[[#This Row],[Max 7d DD]]))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F87A19A-D9F1-45B3-B5C6-F3D8629823A4}" name="Table13411121314" displayName="Table13411121314" ref="BB13:BM44" totalsRowCount="1">
  <tableColumns count="12">
    <tableColumn id="1" xr3:uid="{0493E166-2D03-4C15-97C6-3735BC197F0A}" name="Date" totalsRowLabel="Total" dataDxfId="17">
      <calculatedColumnFormula>BB13+1</calculatedColumnFormula>
    </tableColumn>
    <tableColumn id="2" xr3:uid="{7B6CDEE5-1B6F-4A27-8825-44F1634D6AE7}" name="Day">
      <calculatedColumnFormula>BB14-$B$14+1</calculatedColumnFormula>
    </tableColumn>
    <tableColumn id="3" xr3:uid="{0BA8545A-2437-41A8-AA75-D0EF650005EB}" name="Starting" dataDxfId="16" dataCellStyle="Comma"/>
    <tableColumn id="4" xr3:uid="{626E3E1B-7CB2-4194-847E-A5863E0708E7}" name="$Return" totalsRowFunction="sum" dataDxfId="15" totalsRowDxfId="14" dataCellStyle="Comma"/>
    <tableColumn id="5" xr3:uid="{F5C5A9DC-3485-469E-836D-8DFA5C33B9D1}" name="Inflows" totalsRowFunction="sum" dataDxfId="13" totalsRowDxfId="12" dataCellStyle="Comma"/>
    <tableColumn id="6" xr3:uid="{55E9A528-251A-46D9-8436-2B0D99D790DF}" name="Return" dataDxfId="11" totalsRowDxfId="10" dataCellStyle="Percent">
      <calculatedColumnFormula>Table13411121314[[#This Row],[$Return]]/AVERAGE(Table13411121314[[#This Row],[Starting]],Table13411121314[[#This Row],[Starting]]+Table13411121314[[#This Row],[Inflows]])</calculatedColumnFormula>
    </tableColumn>
    <tableColumn id="8" xr3:uid="{D944C0D2-3095-48FF-B1C2-17FFCF119613}" name="Ending" dataDxfId="9">
      <calculatedColumnFormula>BD14+BE14+BF14</calculatedColumnFormula>
    </tableColumn>
    <tableColumn id="9" xr3:uid="{EFC68C57-9887-4AED-865C-8F0AB0D153F3}" name="Index" dataDxfId="8">
      <calculatedColumnFormula>IF(Table13411121314[[#This Row],[Day]]=1,100,BI13*(1+Table13411121314[[#This Row],[Return]]))</calculatedColumnFormula>
    </tableColumn>
    <tableColumn id="11" xr3:uid="{B2C2D9FE-80E4-4BC1-81AC-132E2575EF2A}" name="Day Weight" dataDxfId="7" totalsRowDxfId="6" dataCellStyle="Comma">
      <calculatedColumnFormula>EXP(-((30-Table13411121314[[#This Row],[Day]])/30))</calculatedColumnFormula>
    </tableColumn>
    <tableColumn id="17" xr3:uid="{76BDFD36-5208-465E-BB4F-40DE82ED4DF3}" name="Wgt. Avg.Return" dataDxfId="5" totalsRowDxfId="4" dataCellStyle="Comma">
      <calculatedColumnFormula>SUMPRODUCT(Table13411121314[Return],Table13411121314[Day Weight])/SUM(Table13411121314[Day Weight])</calculatedColumnFormula>
    </tableColumn>
    <tableColumn id="15" xr3:uid="{3ED0C314-1DCD-4C0C-931E-A53A78F48FDF}" name="Max 7d DD" dataDxfId="3" totalsRowDxfId="2" dataCellStyle="Comma">
      <calculatedColumnFormula>IF(Table13411121314[[#This Row],[Day]]&lt;=7,"",MIN(IF(BI14&lt;MAX(BK7:BK13),BI14/MAX(BK7:BK13)-1,0.5%),-0.5%))</calculatedColumnFormula>
    </tableColumn>
    <tableColumn id="10" xr3:uid="{7C9A50A3-5050-49D7-8D8D-1A59D45BAF3E}" name="Ranking" dataDxfId="1" totalsRowDxfId="0">
      <calculatedColumnFormula>IF(Table1310[[#This Row],[Day]]&lt;=7,"NM",Table1310[[#This Row],[Wgt. Avg.Return]]/ABS(Table1310[[#This Row],[Max 7d DD]]))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FA3A852-5210-4D40-9DC5-A0D2858CAB83}" name="Table131016" displayName="Table131016" ref="B4:M35" totalsRowCount="1">
  <autoFilter ref="B4:M34" xr:uid="{3FA3A852-5210-4D40-9DC5-A0D2858CAB8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7F7EB25C-93E2-4FF2-8C0A-B69690516344}" name="Date" totalsRowLabel="Total" dataDxfId="105">
      <calculatedColumnFormula>B4+1</calculatedColumnFormula>
    </tableColumn>
    <tableColumn id="2" xr3:uid="{307F5A3B-DCCB-4211-B3F1-F5D093B2697B}" name="Day">
      <calculatedColumnFormula>B5-$B$14+1</calculatedColumnFormula>
    </tableColumn>
    <tableColumn id="3" xr3:uid="{58747E36-80D8-48B0-9F84-9F0759EA7CED}" name="Starting" dataDxfId="104" dataCellStyle="Comma">
      <calculatedColumnFormula>H4</calculatedColumnFormula>
    </tableColumn>
    <tableColumn id="4" xr3:uid="{391125B5-10B9-48AB-891D-F50CB99FE3FF}" name="$Return" totalsRowFunction="sum" dataDxfId="103" totalsRowDxfId="102" dataCellStyle="Comma"/>
    <tableColumn id="5" xr3:uid="{8E6983F9-C95F-4C3E-B7AF-9BBF82CCA029}" name="Inflows" totalsRowFunction="sum" dataDxfId="101" totalsRowDxfId="100" dataCellStyle="Comma"/>
    <tableColumn id="6" xr3:uid="{95480F1A-F057-4B1B-846F-C5F40F91804F}" name="Return" dataDxfId="99" totalsRowDxfId="98" dataCellStyle="Percent">
      <calculatedColumnFormula>Table131016[[#This Row],[$Return]]/AVERAGE(Table131016[[#This Row],[Starting]],Table131016[[#This Row],[Starting]]+Table131016[[#This Row],[Inflows]])</calculatedColumnFormula>
    </tableColumn>
    <tableColumn id="8" xr3:uid="{2EEDBA8B-75FB-4B22-9FCD-8E1E8DB57EDB}" name="Ending" dataDxfId="97">
      <calculatedColumnFormula>D5+E5+F5</calculatedColumnFormula>
    </tableColumn>
    <tableColumn id="7" xr3:uid="{ECE55A07-4EEE-45F1-9A9D-584E9C68F548}" name="Index" dataDxfId="96" dataCellStyle="Comma">
      <calculatedColumnFormula>IF(Table131016[[#This Row],[Day]]=1,100,I4*(1+Table131016[[#This Row],[Return]]))</calculatedColumnFormula>
    </tableColumn>
    <tableColumn id="9" xr3:uid="{136BE18D-6483-4E8F-8154-0F54DD6BEB21}" name="Day Weight" dataDxfId="95">
      <calculatedColumnFormula>EXP(-((30-Table131016[[#This Row],[Day]])/30))</calculatedColumnFormula>
    </tableColumn>
    <tableColumn id="11" xr3:uid="{38930E02-8ECE-4CB2-BCD4-49285C78B57D}" name="Wgt. Avg.Return" dataDxfId="94" totalsRowDxfId="93" dataCellStyle="Percent">
      <calculatedColumnFormula>SUMPRODUCT($G$5:G5,$J$5:J5)/SUM(Table131016[Day Weight])</calculatedColumnFormula>
    </tableColumn>
    <tableColumn id="18" xr3:uid="{0BFCFEF8-D02F-42A5-89BE-461F720F693A}" name="Max 7d DD" dataDxfId="92" totalsRowDxfId="91" dataCellStyle="Percent">
      <calculatedColumnFormula>IF(Table131016[[#This Row],[Day]]&lt;=7,"",IF(I5&lt;MAX(#REF!),I5/MAX(#REF!)-1,-1%))</calculatedColumnFormula>
    </tableColumn>
    <tableColumn id="15" xr3:uid="{2546776E-3A7F-4A04-939F-9A20DC376540}" name="Ranking" dataDxfId="90" totalsRowDxfId="89" dataCellStyle="Comma">
      <calculatedColumnFormula>IF(Table131016[[#This Row],[Day]]&lt;=7,"NM",ABS(#REF!/Table131016[[#This Row],[Max 7d DD]]))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9812D-304F-4471-9A9E-A150F88DE360}">
  <dimension ref="B2:BM47"/>
  <sheetViews>
    <sheetView showGridLines="0" tabSelected="1" zoomScale="90" zoomScaleNormal="90" workbookViewId="0">
      <selection activeCell="H7" sqref="H7"/>
    </sheetView>
  </sheetViews>
  <sheetFormatPr defaultRowHeight="14.25" x14ac:dyDescent="0.45"/>
  <cols>
    <col min="1" max="1" width="3.265625" customWidth="1"/>
    <col min="3" max="3" width="6.265625" customWidth="1"/>
    <col min="4" max="5" width="11" bestFit="1" customWidth="1"/>
    <col min="6" max="6" width="13.1328125" customWidth="1"/>
    <col min="8" max="9" width="10.59765625" customWidth="1"/>
    <col min="10" max="10" width="13.59765625" bestFit="1" customWidth="1"/>
    <col min="11" max="11" width="16" customWidth="1"/>
    <col min="12" max="12" width="13.86328125" customWidth="1"/>
    <col min="13" max="13" width="11.73046875" customWidth="1"/>
    <col min="14" max="14" width="9.59765625" customWidth="1"/>
    <col min="15" max="15" width="9.1328125" customWidth="1"/>
    <col min="24" max="24" width="10.86328125" customWidth="1"/>
    <col min="25" max="25" width="10" bestFit="1" customWidth="1"/>
    <col min="27" max="29" width="10.265625" customWidth="1"/>
    <col min="38" max="38" width="10.86328125" customWidth="1"/>
    <col min="39" max="39" width="10" bestFit="1" customWidth="1"/>
    <col min="41" max="42" width="10.265625" customWidth="1"/>
    <col min="51" max="51" width="10.86328125" customWidth="1"/>
    <col min="52" max="52" width="10" bestFit="1" customWidth="1"/>
    <col min="54" max="54" width="10.265625" customWidth="1"/>
    <col min="56" max="56" width="10" bestFit="1" customWidth="1"/>
    <col min="58" max="58" width="10" bestFit="1" customWidth="1"/>
    <col min="60" max="60" width="10.59765625" bestFit="1" customWidth="1"/>
    <col min="62" max="62" width="10" bestFit="1" customWidth="1"/>
    <col min="64" max="64" width="10.86328125" customWidth="1"/>
    <col min="65" max="65" width="10" bestFit="1" customWidth="1"/>
    <col min="67" max="67" width="10.265625" customWidth="1"/>
  </cols>
  <sheetData>
    <row r="2" spans="2:65" x14ac:dyDescent="0.45">
      <c r="E2" s="11" t="s">
        <v>12</v>
      </c>
      <c r="F2" s="11" t="s">
        <v>13</v>
      </c>
      <c r="G2" s="26" t="s">
        <v>22</v>
      </c>
      <c r="H2" s="33" t="s">
        <v>8</v>
      </c>
      <c r="I2" s="11" t="s">
        <v>21</v>
      </c>
      <c r="J2" s="11"/>
    </row>
    <row r="3" spans="2:65" x14ac:dyDescent="0.45">
      <c r="D3" s="10" t="str">
        <f>B12</f>
        <v>Random Walk #1</v>
      </c>
      <c r="E3" s="13">
        <v>0.6</v>
      </c>
      <c r="F3" s="12">
        <f ca="1">I43</f>
        <v>101.01596192521929</v>
      </c>
      <c r="G3" s="27">
        <f>AVERAGE(Table1310[Return])</f>
        <v>8.4040815194392029E-4</v>
      </c>
      <c r="H3" s="28">
        <f>G3/STDEV(Table1310[Return])</f>
        <v>2.7076132123181381E-2</v>
      </c>
      <c r="I3" s="34">
        <f ca="1">M43</f>
        <v>0.17026667982785171</v>
      </c>
      <c r="J3" s="9"/>
    </row>
    <row r="4" spans="2:65" x14ac:dyDescent="0.45">
      <c r="D4" s="10" t="str">
        <f>O12</f>
        <v>High Sharpe, Small Gains</v>
      </c>
      <c r="E4" s="13">
        <v>0.7</v>
      </c>
      <c r="F4" s="12">
        <f ca="1">V43</f>
        <v>104.93844488110042</v>
      </c>
      <c r="G4" s="27">
        <f>AVERAGE(Table13411[Return])</f>
        <v>1.5410648824152327E-3</v>
      </c>
      <c r="H4" s="28">
        <f>G4/STDEV(Table13411[Return])</f>
        <v>0.25818591063430668</v>
      </c>
      <c r="I4" s="34">
        <f ca="1">Z43</f>
        <v>0.19537663678593714</v>
      </c>
      <c r="J4" s="9"/>
    </row>
    <row r="5" spans="2:65" x14ac:dyDescent="0.45">
      <c r="D5" s="10" t="str">
        <f>AB12</f>
        <v>Net Big Returns, But Volatile</v>
      </c>
      <c r="E5" s="15">
        <f>COUNTIF(Table1341112[Return],"&gt;0")/30</f>
        <v>0.5</v>
      </c>
      <c r="F5" s="12">
        <f ca="1">AI43</f>
        <v>103.84615384615388</v>
      </c>
      <c r="G5" s="27">
        <f>AVERAGE(Table1341112[Return])</f>
        <v>4.4681370674631182E-2</v>
      </c>
      <c r="H5" s="28">
        <f>G5/STDEV(Table1341112[Return])</f>
        <v>0.16265873863160185</v>
      </c>
      <c r="I5" s="34">
        <f ca="1">AM43</f>
        <v>0.28227287331231193</v>
      </c>
      <c r="J5" s="9"/>
    </row>
    <row r="6" spans="2:65" x14ac:dyDescent="0.45">
      <c r="D6" s="10" t="s">
        <v>29</v>
      </c>
      <c r="E6" s="15">
        <f>COUNTIF(Table134111213[Return],"&gt;0")/30</f>
        <v>0.53333333333333333</v>
      </c>
      <c r="F6" s="12">
        <f ca="1">AV43</f>
        <v>102.46130461364089</v>
      </c>
      <c r="G6" s="27">
        <f>AVERAGE(Table134111213[Return])</f>
        <v>8.1717804224576136E-4</v>
      </c>
      <c r="H6" s="28">
        <f>G6/STDEV(Table134111213[Return])</f>
        <v>0.22538119822770336</v>
      </c>
      <c r="I6" s="34">
        <f ca="1">AZ43</f>
        <v>5.034451678579998E-2</v>
      </c>
      <c r="J6" s="9"/>
    </row>
    <row r="7" spans="2:65" x14ac:dyDescent="0.45">
      <c r="D7" s="10" t="s">
        <v>30</v>
      </c>
      <c r="E7" s="15">
        <f>COUNTIF(Table13411121314[Return],"&gt;0")/30</f>
        <v>0.93333333333333335</v>
      </c>
      <c r="F7" s="12">
        <f ca="1">BI43</f>
        <v>105.04579891050152</v>
      </c>
      <c r="G7" s="27">
        <f>AVERAGE(Table13411121314[Return])</f>
        <v>1.7166662054267812E-3</v>
      </c>
      <c r="H7" s="28">
        <f>G7/STDEV(Table13411121314[Return])</f>
        <v>0.83852702079508057</v>
      </c>
      <c r="I7" s="34">
        <f ca="1">BM43</f>
        <v>0.19867052570990656</v>
      </c>
      <c r="J7" s="9"/>
    </row>
    <row r="8" spans="2:65" x14ac:dyDescent="0.45">
      <c r="I8" s="9"/>
    </row>
    <row r="9" spans="2:65" x14ac:dyDescent="0.45">
      <c r="I9" s="9"/>
    </row>
    <row r="11" spans="2:65" x14ac:dyDescent="0.45">
      <c r="L11" s="17"/>
    </row>
    <row r="12" spans="2:65" x14ac:dyDescent="0.45">
      <c r="B12" s="8" t="s">
        <v>11</v>
      </c>
      <c r="L12" s="17"/>
      <c r="O12" s="8" t="s">
        <v>10</v>
      </c>
      <c r="AB12" s="8" t="s">
        <v>9</v>
      </c>
      <c r="AO12" s="8" t="s">
        <v>31</v>
      </c>
      <c r="BB12" s="8" t="s">
        <v>32</v>
      </c>
    </row>
    <row r="13" spans="2:65" x14ac:dyDescent="0.45">
      <c r="B13" t="s">
        <v>6</v>
      </c>
      <c r="C13" t="s">
        <v>5</v>
      </c>
      <c r="D13" t="s">
        <v>0</v>
      </c>
      <c r="E13" t="s">
        <v>2</v>
      </c>
      <c r="F13" t="s">
        <v>4</v>
      </c>
      <c r="G13" t="s">
        <v>1</v>
      </c>
      <c r="H13" t="s">
        <v>3</v>
      </c>
      <c r="I13" t="s">
        <v>15</v>
      </c>
      <c r="J13" t="s">
        <v>14</v>
      </c>
      <c r="K13" t="s">
        <v>18</v>
      </c>
      <c r="L13" t="s">
        <v>19</v>
      </c>
      <c r="M13" s="21" t="s">
        <v>20</v>
      </c>
      <c r="O13" t="s">
        <v>6</v>
      </c>
      <c r="P13" t="s">
        <v>5</v>
      </c>
      <c r="Q13" t="s">
        <v>0</v>
      </c>
      <c r="R13" t="s">
        <v>2</v>
      </c>
      <c r="S13" t="s">
        <v>4</v>
      </c>
      <c r="T13" t="s">
        <v>1</v>
      </c>
      <c r="U13" t="s">
        <v>3</v>
      </c>
      <c r="V13" t="s">
        <v>15</v>
      </c>
      <c r="W13" t="s">
        <v>14</v>
      </c>
      <c r="X13" t="s">
        <v>18</v>
      </c>
      <c r="Y13" t="s">
        <v>19</v>
      </c>
      <c r="Z13" s="21" t="s">
        <v>20</v>
      </c>
      <c r="AB13" t="s">
        <v>6</v>
      </c>
      <c r="AC13" t="s">
        <v>5</v>
      </c>
      <c r="AD13" t="s">
        <v>0</v>
      </c>
      <c r="AE13" t="s">
        <v>2</v>
      </c>
      <c r="AF13" t="s">
        <v>4</v>
      </c>
      <c r="AG13" t="s">
        <v>1</v>
      </c>
      <c r="AH13" t="s">
        <v>3</v>
      </c>
      <c r="AI13" t="s">
        <v>15</v>
      </c>
      <c r="AJ13" t="s">
        <v>14</v>
      </c>
      <c r="AK13" t="s">
        <v>18</v>
      </c>
      <c r="AL13" t="s">
        <v>19</v>
      </c>
      <c r="AM13" s="21" t="s">
        <v>20</v>
      </c>
      <c r="AO13" t="s">
        <v>6</v>
      </c>
      <c r="AP13" t="s">
        <v>5</v>
      </c>
      <c r="AQ13" t="s">
        <v>0</v>
      </c>
      <c r="AR13" t="s">
        <v>2</v>
      </c>
      <c r="AS13" t="s">
        <v>4</v>
      </c>
      <c r="AT13" t="s">
        <v>1</v>
      </c>
      <c r="AU13" t="s">
        <v>3</v>
      </c>
      <c r="AV13" t="s">
        <v>15</v>
      </c>
      <c r="AW13" t="s">
        <v>14</v>
      </c>
      <c r="AX13" t="s">
        <v>18</v>
      </c>
      <c r="AY13" t="s">
        <v>19</v>
      </c>
      <c r="AZ13" s="21" t="s">
        <v>20</v>
      </c>
      <c r="BB13" t="s">
        <v>6</v>
      </c>
      <c r="BC13" t="s">
        <v>5</v>
      </c>
      <c r="BD13" t="s">
        <v>0</v>
      </c>
      <c r="BE13" t="s">
        <v>2</v>
      </c>
      <c r="BF13" t="s">
        <v>4</v>
      </c>
      <c r="BG13" t="s">
        <v>1</v>
      </c>
      <c r="BH13" t="s">
        <v>3</v>
      </c>
      <c r="BI13" t="s">
        <v>15</v>
      </c>
      <c r="BJ13" t="s">
        <v>14</v>
      </c>
      <c r="BK13" t="s">
        <v>18</v>
      </c>
      <c r="BL13" t="s">
        <v>19</v>
      </c>
      <c r="BM13" s="21" t="s">
        <v>20</v>
      </c>
    </row>
    <row r="14" spans="2:65" x14ac:dyDescent="0.45">
      <c r="B14" s="4">
        <f ca="1">TODAY()</f>
        <v>45559</v>
      </c>
      <c r="C14">
        <v>1</v>
      </c>
      <c r="D14" s="1">
        <v>100000</v>
      </c>
      <c r="E14" s="6">
        <v>112</v>
      </c>
      <c r="F14" s="1">
        <v>919</v>
      </c>
      <c r="G14" s="5">
        <f>Table1310[[#This Row],[$Return]]/AVERAGE(Table1310[[#This Row],[Starting]],Table1310[[#This Row],[Starting]]+Table1310[[#This Row],[Inflows]])</f>
        <v>1.1148771395437962E-3</v>
      </c>
      <c r="H14" s="2">
        <f t="shared" ref="H14:H43" si="0">D14+E14+F14</f>
        <v>101031</v>
      </c>
      <c r="I14" s="18">
        <f>IF(Table1310[[#This Row],[Day]]=1,100,I13*(1+Table1310[[#This Row],[Return]]))</f>
        <v>100</v>
      </c>
      <c r="J14" s="3">
        <f>EXP(-((30-Table1310[[#This Row],[Day]])/30))</f>
        <v>0.38034875658925854</v>
      </c>
      <c r="K14" s="5"/>
      <c r="L14" s="5" t="str">
        <f>IF(Table1310[[#This Row],[Day]]&lt;=7,"",MIN(IF(I14&lt;MAX(I7:I13),I14/MAX(I7:I13)-1,-1%),-1%))</f>
        <v/>
      </c>
      <c r="M14" s="19"/>
      <c r="O14" s="4">
        <f ca="1">TODAY()</f>
        <v>45559</v>
      </c>
      <c r="P14">
        <v>1</v>
      </c>
      <c r="Q14" s="1">
        <v>100000</v>
      </c>
      <c r="R14" s="6">
        <v>-252</v>
      </c>
      <c r="S14" s="1">
        <v>0</v>
      </c>
      <c r="T14" s="5">
        <f>Table13411[[#This Row],[$Return]]/AVERAGE(Table13411[[#This Row],[Starting]],Table13411[[#This Row],[Starting]]+Table13411[[#This Row],[Inflows]])</f>
        <v>-2.5200000000000001E-3</v>
      </c>
      <c r="U14" s="2">
        <f t="shared" ref="U14:U43" si="1">Q14+R14+S14</f>
        <v>99748</v>
      </c>
      <c r="V14" s="18">
        <f>IF(Table13411[[#This Row],[Day]]=1,100,V13*(1+Table13411[[#This Row],[Return]]))</f>
        <v>100</v>
      </c>
      <c r="W14" s="3">
        <f>EXP(-((30-Table13411[[#This Row],[Day]])/30))</f>
        <v>0.38034875658925854</v>
      </c>
      <c r="X14" s="5"/>
      <c r="Y14" s="5" t="str">
        <f>IF(Table13411[[#This Row],[Day]]&lt;=7,"",MIN(IF(V14&lt;MAX(W7:W13),V14/MAX(W7:W13)-1,-1%),-1%))</f>
        <v/>
      </c>
      <c r="Z14" s="19"/>
      <c r="AB14" s="4">
        <f ca="1">TODAY()</f>
        <v>45559</v>
      </c>
      <c r="AC14">
        <v>1</v>
      </c>
      <c r="AD14" s="1">
        <v>100000</v>
      </c>
      <c r="AE14" s="6">
        <v>30000</v>
      </c>
      <c r="AF14" s="1">
        <v>0</v>
      </c>
      <c r="AG14" s="5">
        <f>Table1341112[[#This Row],[$Return]]/AVERAGE(Table1341112[[#This Row],[Starting]],Table1341112[[#This Row],[Starting]]+Table1341112[[#This Row],[Inflows]])</f>
        <v>0.3</v>
      </c>
      <c r="AH14" s="2">
        <f t="shared" ref="AH14:AH43" si="2">AD14+AE14+AF14</f>
        <v>130000</v>
      </c>
      <c r="AI14" s="18">
        <f>IF(Table1341112[[#This Row],[Day]]=1,100,AI13*(1+Table1341112[[#This Row],[Return]]))</f>
        <v>100</v>
      </c>
      <c r="AJ14" s="3">
        <f>EXP(-((30-Table1341112[[#This Row],[Day]])/30))</f>
        <v>0.38034875658925854</v>
      </c>
      <c r="AK14" s="5"/>
      <c r="AL14" s="5" t="str">
        <f>IF(Table1341112[[#This Row],[Day]]&lt;=7,"",MIN(IF(AI14&lt;MAX(AK7:AK13),AI14/MAX(AK7:AK13)-1,-1%),-1%))</f>
        <v/>
      </c>
      <c r="AM14" s="19"/>
      <c r="AO14" s="4">
        <f ca="1">TODAY()</f>
        <v>45559</v>
      </c>
      <c r="AP14">
        <v>1</v>
      </c>
      <c r="AQ14" s="1">
        <v>255062.6</v>
      </c>
      <c r="AR14" s="6">
        <v>0</v>
      </c>
      <c r="AS14" s="1">
        <v>0</v>
      </c>
      <c r="AT14" s="5">
        <f>Table134111213[[#This Row],[$Return]]/AVERAGE(Table134111213[[#This Row],[Starting]],Table134111213[[#This Row],[Starting]]+Table134111213[[#This Row],[Inflows]])</f>
        <v>0</v>
      </c>
      <c r="AU14" s="2">
        <f t="shared" ref="AU14:AU43" si="3">AQ14+AR14+AS14</f>
        <v>255062.6</v>
      </c>
      <c r="AV14" s="18">
        <f>IF(Table134111213[[#This Row],[Day]]=1,100,AV13*(1+Table134111213[[#This Row],[Return]]))</f>
        <v>100</v>
      </c>
      <c r="AW14" s="3">
        <f>EXP(-((30-Table134111213[[#This Row],[Day]])/30))</f>
        <v>0.38034875658925854</v>
      </c>
      <c r="AX14" s="5"/>
      <c r="AY14" s="5" t="str">
        <f>IF(Table134111213[[#This Row],[Day]]&lt;=7,"",MIN(IF(AV14&lt;MAX(AX7:AX13),AV14/MAX(AX7:AX13)-1,-1%),-1%))</f>
        <v/>
      </c>
      <c r="AZ14" s="19"/>
      <c r="BB14" s="4">
        <f ca="1">TODAY()</f>
        <v>45559</v>
      </c>
      <c r="BC14">
        <v>1</v>
      </c>
      <c r="BD14" s="1">
        <v>6933646.8499999996</v>
      </c>
      <c r="BE14" s="6">
        <v>14947.62</v>
      </c>
      <c r="BF14" s="1">
        <v>-100000</v>
      </c>
      <c r="BG14" s="5">
        <f>Table13411121314[[#This Row],[$Return]]/AVERAGE(Table13411121314[[#This Row],[Starting]],Table13411121314[[#This Row],[Starting]]+Table13411121314[[#This Row],[Inflows]])</f>
        <v>2.1714681658894226E-3</v>
      </c>
      <c r="BH14" s="2">
        <f t="shared" ref="BH14:BH43" si="4">BD14+BE14+BF14</f>
        <v>6848594.4699999997</v>
      </c>
      <c r="BI14" s="18">
        <f>IF(Table13411121314[[#This Row],[Day]]=1,100,BI13*(1+Table13411121314[[#This Row],[Return]]))</f>
        <v>100</v>
      </c>
      <c r="BJ14" s="3">
        <f>EXP(-((30-Table13411121314[[#This Row],[Day]])/30))</f>
        <v>0.38034875658925854</v>
      </c>
      <c r="BK14" s="5"/>
      <c r="BL14" s="5" t="str">
        <f>IF(Table13411121314[[#This Row],[Day]]&lt;=7,"",MIN(IF(BI14&lt;MAX(BK7:BK13),BI14/MAX(BK7:BK13)-1,0.5%),-1%))</f>
        <v/>
      </c>
      <c r="BM14" s="19"/>
    </row>
    <row r="15" spans="2:65" x14ac:dyDescent="0.45">
      <c r="B15" s="4">
        <f ca="1">B14+1</f>
        <v>45560</v>
      </c>
      <c r="C15">
        <f t="shared" ref="C15:C43" ca="1" si="5">B15-$B$14+1</f>
        <v>2</v>
      </c>
      <c r="D15" s="1">
        <f>H14</f>
        <v>101031</v>
      </c>
      <c r="E15" s="6">
        <v>-2284</v>
      </c>
      <c r="F15" s="1">
        <v>507</v>
      </c>
      <c r="G15" s="5">
        <f>Table1310[[#This Row],[$Return]]/AVERAGE(Table1310[[#This Row],[Starting]],Table1310[[#This Row],[Starting]]+Table1310[[#This Row],[Inflows]])</f>
        <v>-2.2550340871505512E-2</v>
      </c>
      <c r="H15" s="2">
        <f t="shared" si="0"/>
        <v>99254</v>
      </c>
      <c r="I15" s="18">
        <f ca="1">IF(Table1310[[#This Row],[Day]]=1,100,I14*(1+Table1310[[#This Row],[Return]]))</f>
        <v>97.744965912849452</v>
      </c>
      <c r="J15" s="3">
        <f ca="1">EXP(-((30-Table1310[[#This Row],[Day]])/30))</f>
        <v>0.39324072086859824</v>
      </c>
      <c r="K15" s="5"/>
      <c r="L15" s="5" t="str">
        <f ca="1">IF(Table1310[[#This Row],[Day]]&lt;=7,"",MIN(IF(I15&lt;MAX(I8:I14),I15/MAX(I8:I14)-1,-1%),-1%))</f>
        <v/>
      </c>
      <c r="M15" s="19"/>
      <c r="O15" s="4">
        <f ca="1">O14+1</f>
        <v>45560</v>
      </c>
      <c r="P15">
        <f t="shared" ref="P15:P43" ca="1" si="6">O15-$B$14+1</f>
        <v>2</v>
      </c>
      <c r="Q15" s="1">
        <f>U14</f>
        <v>99748</v>
      </c>
      <c r="R15" s="6">
        <v>775</v>
      </c>
      <c r="S15" s="1">
        <v>0</v>
      </c>
      <c r="T15" s="5">
        <f>Table13411[[#This Row],[$Return]]/AVERAGE(Table13411[[#This Row],[Starting]],Table13411[[#This Row],[Starting]]+Table13411[[#This Row],[Inflows]])</f>
        <v>7.76957933993664E-3</v>
      </c>
      <c r="U15" s="2">
        <f t="shared" si="1"/>
        <v>100523</v>
      </c>
      <c r="V15" s="18">
        <f ca="1">IF(Table13411[[#This Row],[Day]]=1,100,V14*(1+Table13411[[#This Row],[Return]]))</f>
        <v>100.77695793399366</v>
      </c>
      <c r="W15" s="3">
        <f ca="1">EXP(-((30-Table13411[[#This Row],[Day]])/30))</f>
        <v>0.39324072086859824</v>
      </c>
      <c r="X15" s="5"/>
      <c r="Y15" s="5" t="str">
        <f ca="1">IF(Table13411[[#This Row],[Day]]&lt;=7,"",MIN(IF(V15&lt;MAX(W8:W14),V15/MAX(W8:W14)-1,-1%),-1%))</f>
        <v/>
      </c>
      <c r="Z15" s="19"/>
      <c r="AB15" s="4">
        <f ca="1">AB14+1</f>
        <v>45560</v>
      </c>
      <c r="AC15">
        <f t="shared" ref="AC15:AC43" ca="1" si="7">AB15-$B$14+1</f>
        <v>2</v>
      </c>
      <c r="AD15" s="1">
        <f>AH14</f>
        <v>130000</v>
      </c>
      <c r="AE15" s="6">
        <v>-20000</v>
      </c>
      <c r="AF15" s="1">
        <v>0</v>
      </c>
      <c r="AG15" s="5">
        <f>Table1341112[[#This Row],[$Return]]/AVERAGE(Table1341112[[#This Row],[Starting]],Table1341112[[#This Row],[Starting]]+Table1341112[[#This Row],[Inflows]])</f>
        <v>-0.15384615384615385</v>
      </c>
      <c r="AH15" s="2">
        <f t="shared" si="2"/>
        <v>110000</v>
      </c>
      <c r="AI15" s="18">
        <f ca="1">IF(Table1341112[[#This Row],[Day]]=1,100,AI14*(1+Table1341112[[#This Row],[Return]]))</f>
        <v>84.615384615384613</v>
      </c>
      <c r="AJ15" s="3">
        <f ca="1">EXP(-((30-Table1341112[[#This Row],[Day]])/30))</f>
        <v>0.39324072086859824</v>
      </c>
      <c r="AK15" s="5"/>
      <c r="AL15" s="5" t="str">
        <f ca="1">IF(Table1341112[[#This Row],[Day]]&lt;=7,"",MIN(IF(AI15&lt;MAX(AK8:AK14),AI15/MAX(AK8:AK14)-1,-1%),-1%))</f>
        <v/>
      </c>
      <c r="AM15" s="19"/>
      <c r="AO15" s="4">
        <f ca="1">AO14+1</f>
        <v>45560</v>
      </c>
      <c r="AP15">
        <f t="shared" ref="AP15:AP43" ca="1" si="8">AO15-$B$14+1</f>
        <v>2</v>
      </c>
      <c r="AQ15" s="1">
        <v>256378.49</v>
      </c>
      <c r="AR15" s="6">
        <v>1315.89</v>
      </c>
      <c r="AS15" s="1">
        <v>0</v>
      </c>
      <c r="AT15" s="5">
        <f>Table134111213[[#This Row],[$Return]]/AVERAGE(Table134111213[[#This Row],[Starting]],Table134111213[[#This Row],[Starting]]+Table134111213[[#This Row],[Inflows]])</f>
        <v>5.1326068735329557E-3</v>
      </c>
      <c r="AU15" s="2">
        <f t="shared" si="3"/>
        <v>257694.38</v>
      </c>
      <c r="AV15" s="18">
        <f ca="1">IF(Table134111213[[#This Row],[Day]]=1,100,AV14*(1+Table134111213[[#This Row],[Return]]))</f>
        <v>100.51326068735329</v>
      </c>
      <c r="AW15" s="3">
        <f ca="1">EXP(-((30-Table134111213[[#This Row],[Day]])/30))</f>
        <v>0.39324072086859824</v>
      </c>
      <c r="AX15" s="5"/>
      <c r="AY15" s="5" t="str">
        <f ca="1">IF(Table134111213[[#This Row],[Day]]&lt;=7,"",MIN(IF(AV15&lt;MAX(AX8:AX14),AV15/MAX(AX8:AX14)-1,-1%),-1%))</f>
        <v/>
      </c>
      <c r="AZ15" s="19"/>
      <c r="BB15" s="4">
        <f ca="1">BB14+1</f>
        <v>45560</v>
      </c>
      <c r="BC15">
        <f t="shared" ref="BC15:BC43" ca="1" si="9">BB15-$B$14+1</f>
        <v>2</v>
      </c>
      <c r="BD15" s="1">
        <v>6847950.2699999996</v>
      </c>
      <c r="BE15" s="6">
        <v>14303.42</v>
      </c>
      <c r="BF15" s="1">
        <v>100000</v>
      </c>
      <c r="BG15" s="5">
        <f>Table13411121314[[#This Row],[$Return]]/AVERAGE(Table13411121314[[#This Row],[Starting]],Table13411121314[[#This Row],[Starting]]+Table13411121314[[#This Row],[Inflows]])</f>
        <v>2.073575401406888E-3</v>
      </c>
      <c r="BH15" s="2">
        <f t="shared" si="4"/>
        <v>6962253.6899999995</v>
      </c>
      <c r="BI15" s="18">
        <f ca="1">IF(Table13411121314[[#This Row],[Day]]=1,100,BI14*(1+Table13411121314[[#This Row],[Return]]))</f>
        <v>100.20735754014069</v>
      </c>
      <c r="BJ15" s="3">
        <f ca="1">EXP(-((30-Table13411121314[[#This Row],[Day]])/30))</f>
        <v>0.39324072086859824</v>
      </c>
      <c r="BK15" s="5"/>
      <c r="BL15" s="5" t="str">
        <f ca="1">IF(Table13411121314[[#This Row],[Day]]&lt;=7,"",MIN(IF(BI15&lt;MAX(BK8:BK14),BI15/MAX(BK8:BK14)-1,0.5%),-1%))</f>
        <v/>
      </c>
      <c r="BM15" s="19"/>
    </row>
    <row r="16" spans="2:65" x14ac:dyDescent="0.45">
      <c r="B16" s="4">
        <f t="shared" ref="B16:B43" ca="1" si="10">B15+1</f>
        <v>45561</v>
      </c>
      <c r="C16">
        <f t="shared" ca="1" si="5"/>
        <v>3</v>
      </c>
      <c r="D16" s="1">
        <f t="shared" ref="D16:D43" si="11">H15</f>
        <v>99254</v>
      </c>
      <c r="E16" s="6">
        <v>4769</v>
      </c>
      <c r="F16" s="1">
        <v>332</v>
      </c>
      <c r="G16" s="5">
        <f>Table1310[[#This Row],[$Return]]/AVERAGE(Table1310[[#This Row],[Starting]],Table1310[[#This Row],[Starting]]+Table1310[[#This Row],[Inflows]])</f>
        <v>4.7968215650774491E-2</v>
      </c>
      <c r="H16" s="2">
        <f t="shared" si="0"/>
        <v>104355</v>
      </c>
      <c r="I16" s="18">
        <f ca="1">IF(Table1310[[#This Row],[Day]]=1,100,I15*(1+Table1310[[#This Row],[Return]]))</f>
        <v>102.43361751653462</v>
      </c>
      <c r="J16" s="3">
        <f ca="1">EXP(-((30-Table1310[[#This Row],[Day]])/30))</f>
        <v>0.40656965974059911</v>
      </c>
      <c r="K16" s="5"/>
      <c r="L16" s="5" t="str">
        <f ca="1">IF(Table1310[[#This Row],[Day]]&lt;=7,"",MIN(IF(I16&lt;MAX(I9:I15),I16/MAX(I9:I15)-1,-1%),-1%))</f>
        <v/>
      </c>
      <c r="M16" s="19"/>
      <c r="O16" s="4">
        <f t="shared" ref="O16:O43" ca="1" si="12">O15+1</f>
        <v>45561</v>
      </c>
      <c r="P16">
        <f t="shared" ca="1" si="6"/>
        <v>3</v>
      </c>
      <c r="Q16" s="1">
        <f t="shared" ref="Q16:Q43" si="13">U15</f>
        <v>100523</v>
      </c>
      <c r="R16" s="6">
        <v>-241</v>
      </c>
      <c r="S16" s="1">
        <v>0</v>
      </c>
      <c r="T16" s="5">
        <f>Table13411[[#This Row],[$Return]]/AVERAGE(Table13411[[#This Row],[Starting]],Table13411[[#This Row],[Starting]]+Table13411[[#This Row],[Inflows]])</f>
        <v>-2.397461277518578E-3</v>
      </c>
      <c r="U16" s="2">
        <f t="shared" si="1"/>
        <v>100282</v>
      </c>
      <c r="V16" s="18">
        <f ca="1">IF(Table13411[[#This Row],[Day]]=1,100,V15*(1+Table13411[[#This Row],[Return]]))</f>
        <v>100.53534907968078</v>
      </c>
      <c r="W16" s="3">
        <f ca="1">EXP(-((30-Table13411[[#This Row],[Day]])/30))</f>
        <v>0.40656965974059911</v>
      </c>
      <c r="X16" s="5"/>
      <c r="Y16" s="5" t="str">
        <f ca="1">IF(Table13411[[#This Row],[Day]]&lt;=7,"",MIN(IF(V16&lt;MAX(W9:W15),V16/MAX(W9:W15)-1,-1%),-1%))</f>
        <v/>
      </c>
      <c r="Z16" s="19"/>
      <c r="AB16" s="4">
        <f t="shared" ref="AB16:AB43" ca="1" si="14">AB15+1</f>
        <v>45561</v>
      </c>
      <c r="AC16">
        <f t="shared" ca="1" si="7"/>
        <v>3</v>
      </c>
      <c r="AD16" s="1">
        <f t="shared" ref="AD16:AD43" si="15">AH15</f>
        <v>110000</v>
      </c>
      <c r="AE16" s="6">
        <v>20000</v>
      </c>
      <c r="AF16" s="1">
        <v>0</v>
      </c>
      <c r="AG16" s="5">
        <f>Table1341112[[#This Row],[$Return]]/AVERAGE(Table1341112[[#This Row],[Starting]],Table1341112[[#This Row],[Starting]]+Table1341112[[#This Row],[Inflows]])</f>
        <v>0.18181818181818182</v>
      </c>
      <c r="AH16" s="2">
        <f t="shared" si="2"/>
        <v>130000</v>
      </c>
      <c r="AI16" s="18">
        <f ca="1">IF(Table1341112[[#This Row],[Day]]=1,100,AI15*(1+Table1341112[[#This Row],[Return]]))</f>
        <v>100</v>
      </c>
      <c r="AJ16" s="3">
        <f ca="1">EXP(-((30-Table1341112[[#This Row],[Day]])/30))</f>
        <v>0.40656965974059911</v>
      </c>
      <c r="AK16" s="5"/>
      <c r="AL16" s="5" t="str">
        <f ca="1">IF(Table1341112[[#This Row],[Day]]&lt;=7,"",MIN(IF(AI16&lt;MAX(AK9:AK15),AI16/MAX(AK9:AK15)-1,-1%),-1%))</f>
        <v/>
      </c>
      <c r="AM16" s="19"/>
      <c r="AO16" s="4">
        <f t="shared" ref="AO16:AO43" ca="1" si="16">AO15+1</f>
        <v>45561</v>
      </c>
      <c r="AP16">
        <f t="shared" ca="1" si="8"/>
        <v>3</v>
      </c>
      <c r="AQ16" s="1">
        <v>256788.32</v>
      </c>
      <c r="AR16" s="6">
        <v>409.82</v>
      </c>
      <c r="AS16" s="1">
        <v>0</v>
      </c>
      <c r="AT16" s="5">
        <f>Table134111213[[#This Row],[$Return]]/AVERAGE(Table134111213[[#This Row],[Starting]],Table134111213[[#This Row],[Starting]]+Table134111213[[#This Row],[Inflows]])</f>
        <v>1.5959448622896867E-3</v>
      </c>
      <c r="AU16" s="2">
        <f t="shared" si="3"/>
        <v>257198.14</v>
      </c>
      <c r="AV16" s="18">
        <f ca="1">IF(Table134111213[[#This Row],[Day]]=1,100,AV15*(1+Table134111213[[#This Row],[Return]]))</f>
        <v>100.67367430933926</v>
      </c>
      <c r="AW16" s="3">
        <f ca="1">EXP(-((30-Table134111213[[#This Row],[Day]])/30))</f>
        <v>0.40656965974059911</v>
      </c>
      <c r="AX16" s="5"/>
      <c r="AY16" s="5" t="str">
        <f ca="1">IF(Table134111213[[#This Row],[Day]]&lt;=7,"",MIN(IF(AV16&lt;MAX(AX9:AX15),AV16/MAX(AX9:AX15)-1,-1%),-1%))</f>
        <v/>
      </c>
      <c r="AZ16" s="19"/>
      <c r="BB16" s="4">
        <f t="shared" ref="BB16:BB43" ca="1" si="17">BB15+1</f>
        <v>45561</v>
      </c>
      <c r="BC16">
        <f t="shared" ca="1" si="9"/>
        <v>3</v>
      </c>
      <c r="BD16" s="1">
        <v>6946892.1200000001</v>
      </c>
      <c r="BE16" s="6">
        <v>-1058.1600000000001</v>
      </c>
      <c r="BF16" s="1">
        <v>0</v>
      </c>
      <c r="BG16" s="5">
        <f>Table13411121314[[#This Row],[$Return]]/AVERAGE(Table13411121314[[#This Row],[Starting]],Table13411121314[[#This Row],[Starting]]+Table13411121314[[#This Row],[Inflows]])</f>
        <v>-1.5232135201201312E-4</v>
      </c>
      <c r="BH16" s="2">
        <f t="shared" si="4"/>
        <v>6945833.96</v>
      </c>
      <c r="BI16" s="18">
        <f ca="1">IF(Table13411121314[[#This Row],[Day]]=1,100,BI15*(1+Table13411121314[[#This Row],[Return]]))</f>
        <v>100.19209381995863</v>
      </c>
      <c r="BJ16" s="3">
        <f ca="1">EXP(-((30-Table13411121314[[#This Row],[Day]])/30))</f>
        <v>0.40656965974059911</v>
      </c>
      <c r="BK16" s="5"/>
      <c r="BL16" s="5" t="str">
        <f ca="1">IF(Table13411121314[[#This Row],[Day]]&lt;=7,"",MIN(IF(BI16&lt;MAX(BK9:BK15),BI16/MAX(BK9:BK15)-1,0.5%),-1%))</f>
        <v/>
      </c>
      <c r="BM16" s="19"/>
    </row>
    <row r="17" spans="2:65" x14ac:dyDescent="0.45">
      <c r="B17" s="4">
        <f t="shared" ca="1" si="10"/>
        <v>45562</v>
      </c>
      <c r="C17">
        <f t="shared" ca="1" si="5"/>
        <v>4</v>
      </c>
      <c r="D17" s="1">
        <f t="shared" si="11"/>
        <v>104355</v>
      </c>
      <c r="E17" s="6">
        <v>56</v>
      </c>
      <c r="F17" s="1">
        <v>929</v>
      </c>
      <c r="G17" s="5">
        <f>Table1310[[#This Row],[$Return]]/AVERAGE(Table1310[[#This Row],[Starting]],Table1310[[#This Row],[Starting]]+Table1310[[#This Row],[Inflows]])</f>
        <v>5.342517375106731E-4</v>
      </c>
      <c r="H17" s="2">
        <f t="shared" si="0"/>
        <v>105340</v>
      </c>
      <c r="I17" s="18">
        <f ca="1">IF(Table1310[[#This Row],[Day]]=1,100,I16*(1+Table1310[[#This Row],[Return]]))</f>
        <v>102.48834285467234</v>
      </c>
      <c r="J17" s="3">
        <f ca="1">EXP(-((30-Table1310[[#This Row],[Day]])/30))</f>
        <v>0.4203503845086819</v>
      </c>
      <c r="K17" s="5"/>
      <c r="L17" s="5" t="str">
        <f ca="1">IF(Table1310[[#This Row],[Day]]&lt;=7,"",MIN(IF(I17&lt;MAX(I10:I16),I17/MAX(I10:I16)-1,-1%),-1%))</f>
        <v/>
      </c>
      <c r="M17" s="19"/>
      <c r="O17" s="4">
        <f t="shared" ca="1" si="12"/>
        <v>45562</v>
      </c>
      <c r="P17">
        <f t="shared" ca="1" si="6"/>
        <v>4</v>
      </c>
      <c r="Q17" s="1">
        <f t="shared" si="13"/>
        <v>100282</v>
      </c>
      <c r="R17" s="6">
        <v>-144</v>
      </c>
      <c r="S17" s="1">
        <v>0</v>
      </c>
      <c r="T17" s="5">
        <f>Table13411[[#This Row],[$Return]]/AVERAGE(Table13411[[#This Row],[Starting]],Table13411[[#This Row],[Starting]]+Table13411[[#This Row],[Inflows]])</f>
        <v>-1.4359506192537046E-3</v>
      </c>
      <c r="U17" s="2">
        <f t="shared" si="1"/>
        <v>100138</v>
      </c>
      <c r="V17" s="18">
        <f ca="1">IF(Table13411[[#This Row],[Day]]=1,100,V16*(1+Table13411[[#This Row],[Return]]))</f>
        <v>100.39098528291292</v>
      </c>
      <c r="W17" s="3">
        <f ca="1">EXP(-((30-Table13411[[#This Row],[Day]])/30))</f>
        <v>0.4203503845086819</v>
      </c>
      <c r="X17" s="5"/>
      <c r="Y17" s="5" t="str">
        <f ca="1">IF(Table13411[[#This Row],[Day]]&lt;=7,"",MIN(IF(V17&lt;MAX(W10:W16),V17/MAX(W10:W16)-1,-1%),-1%))</f>
        <v/>
      </c>
      <c r="Z17" s="19"/>
      <c r="AB17" s="4">
        <f t="shared" ca="1" si="14"/>
        <v>45562</v>
      </c>
      <c r="AC17">
        <f t="shared" ca="1" si="7"/>
        <v>4</v>
      </c>
      <c r="AD17" s="1">
        <f t="shared" si="15"/>
        <v>130000</v>
      </c>
      <c r="AE17" s="6">
        <v>-15000</v>
      </c>
      <c r="AF17" s="1">
        <v>0</v>
      </c>
      <c r="AG17" s="5">
        <f>Table1341112[[#This Row],[$Return]]/AVERAGE(Table1341112[[#This Row],[Starting]],Table1341112[[#This Row],[Starting]]+Table1341112[[#This Row],[Inflows]])</f>
        <v>-0.11538461538461539</v>
      </c>
      <c r="AH17" s="2">
        <f t="shared" si="2"/>
        <v>115000</v>
      </c>
      <c r="AI17" s="18">
        <f ca="1">IF(Table1341112[[#This Row],[Day]]=1,100,AI16*(1+Table1341112[[#This Row],[Return]]))</f>
        <v>88.461538461538453</v>
      </c>
      <c r="AJ17" s="3">
        <f ca="1">EXP(-((30-Table1341112[[#This Row],[Day]])/30))</f>
        <v>0.4203503845086819</v>
      </c>
      <c r="AK17" s="5"/>
      <c r="AL17" s="5" t="str">
        <f ca="1">IF(Table1341112[[#This Row],[Day]]&lt;=7,"",MIN(IF(AI17&lt;MAX(AK10:AK16),AI17/MAX(AK10:AK16)-1,-1%),-1%))</f>
        <v/>
      </c>
      <c r="AM17" s="19"/>
      <c r="AO17" s="4">
        <f t="shared" ca="1" si="16"/>
        <v>45562</v>
      </c>
      <c r="AP17">
        <f t="shared" ca="1" si="8"/>
        <v>4</v>
      </c>
      <c r="AQ17" s="1">
        <v>257654.66</v>
      </c>
      <c r="AR17" s="6">
        <v>866.34</v>
      </c>
      <c r="AS17" s="1">
        <v>0</v>
      </c>
      <c r="AT17" s="5">
        <f>Table134111213[[#This Row],[$Return]]/AVERAGE(Table134111213[[#This Row],[Starting]],Table134111213[[#This Row],[Starting]]+Table134111213[[#This Row],[Inflows]])</f>
        <v>3.3624076506126458E-3</v>
      </c>
      <c r="AU17" s="2">
        <f t="shared" si="3"/>
        <v>258521</v>
      </c>
      <c r="AV17" s="18">
        <f ca="1">IF(Table134111213[[#This Row],[Day]]=1,100,AV16*(1+Table134111213[[#This Row],[Return]]))</f>
        <v>101.01218024205227</v>
      </c>
      <c r="AW17" s="3">
        <f ca="1">EXP(-((30-Table134111213[[#This Row],[Day]])/30))</f>
        <v>0.4203503845086819</v>
      </c>
      <c r="AX17" s="5"/>
      <c r="AY17" s="5" t="str">
        <f ca="1">IF(Table134111213[[#This Row],[Day]]&lt;=7,"",MIN(IF(AV17&lt;MAX(AX10:AX16),AV17/MAX(AX10:AX16)-1,-1%),-1%))</f>
        <v/>
      </c>
      <c r="AZ17" s="19"/>
      <c r="BB17" s="4">
        <f t="shared" ca="1" si="17"/>
        <v>45562</v>
      </c>
      <c r="BC17">
        <f t="shared" ca="1" si="9"/>
        <v>4</v>
      </c>
      <c r="BD17" s="1">
        <v>6950007.6600000001</v>
      </c>
      <c r="BE17" s="6">
        <v>3115.54</v>
      </c>
      <c r="BF17" s="1">
        <v>0</v>
      </c>
      <c r="BG17" s="5">
        <f>Table13411121314[[#This Row],[$Return]]/AVERAGE(Table13411121314[[#This Row],[Starting]],Table13411121314[[#This Row],[Starting]]+Table13411121314[[#This Row],[Inflows]])</f>
        <v>4.4827864261663274E-4</v>
      </c>
      <c r="BH17" s="2">
        <f t="shared" si="4"/>
        <v>6953123.2000000002</v>
      </c>
      <c r="BI17" s="18">
        <f ca="1">IF(Table13411121314[[#This Row],[Day]]=1,100,BI16*(1+Table13411121314[[#This Row],[Return]]))</f>
        <v>100.23700779577715</v>
      </c>
      <c r="BJ17" s="3">
        <f ca="1">EXP(-((30-Table13411121314[[#This Row],[Day]])/30))</f>
        <v>0.4203503845086819</v>
      </c>
      <c r="BK17" s="5"/>
      <c r="BL17" s="5" t="str">
        <f ca="1">IF(Table13411121314[[#This Row],[Day]]&lt;=7,"",MIN(IF(BI17&lt;MAX(BK10:BK16),BI17/MAX(BK10:BK16)-1,0.5%),-1%))</f>
        <v/>
      </c>
      <c r="BM17" s="19"/>
    </row>
    <row r="18" spans="2:65" x14ac:dyDescent="0.45">
      <c r="B18" s="4">
        <f t="shared" ca="1" si="10"/>
        <v>45563</v>
      </c>
      <c r="C18">
        <f t="shared" ca="1" si="5"/>
        <v>5</v>
      </c>
      <c r="D18" s="1">
        <f t="shared" si="11"/>
        <v>105340</v>
      </c>
      <c r="E18" s="6">
        <v>3711</v>
      </c>
      <c r="F18" s="1">
        <v>220</v>
      </c>
      <c r="G18" s="5">
        <f>Table1310[[#This Row],[$Return]]/AVERAGE(Table1310[[#This Row],[Starting]],Table1310[[#This Row],[Starting]]+Table1310[[#This Row],[Inflows]])</f>
        <v>3.5192034139402563E-2</v>
      </c>
      <c r="H18" s="2">
        <f t="shared" si="0"/>
        <v>109271</v>
      </c>
      <c r="I18" s="18">
        <f ca="1">IF(Table1310[[#This Row],[Day]]=1,100,I17*(1+Table1310[[#This Row],[Return]]))</f>
        <v>106.09511611530476</v>
      </c>
      <c r="J18" s="3">
        <f ca="1">EXP(-((30-Table1310[[#This Row],[Day]])/30))</f>
        <v>0.4345982085070782</v>
      </c>
      <c r="K18" s="5"/>
      <c r="L18" s="5" t="str">
        <f ca="1">IF(Table1310[[#This Row],[Day]]&lt;=7,"",MIN(IF(I18&lt;MAX(I11:I17),I18/MAX(I11:I17)-1,-1%),-1%))</f>
        <v/>
      </c>
      <c r="M18" s="19"/>
      <c r="O18" s="4">
        <f t="shared" ca="1" si="12"/>
        <v>45563</v>
      </c>
      <c r="P18">
        <f t="shared" ca="1" si="6"/>
        <v>5</v>
      </c>
      <c r="Q18" s="1">
        <f t="shared" si="13"/>
        <v>100138</v>
      </c>
      <c r="R18" s="6">
        <v>191</v>
      </c>
      <c r="S18" s="1">
        <v>0</v>
      </c>
      <c r="T18" s="5">
        <f>Table13411[[#This Row],[$Return]]/AVERAGE(Table13411[[#This Row],[Starting]],Table13411[[#This Row],[Starting]]+Table13411[[#This Row],[Inflows]])</f>
        <v>1.9073678323913001E-3</v>
      </c>
      <c r="U18" s="2">
        <f t="shared" si="1"/>
        <v>100329</v>
      </c>
      <c r="V18" s="18">
        <f ca="1">IF(Table13411[[#This Row],[Day]]=1,100,V17*(1+Table13411[[#This Row],[Return]]))</f>
        <v>100.58246781890362</v>
      </c>
      <c r="W18" s="3">
        <f ca="1">EXP(-((30-Table13411[[#This Row],[Day]])/30))</f>
        <v>0.4345982085070782</v>
      </c>
      <c r="X18" s="5"/>
      <c r="Y18" s="5" t="str">
        <f ca="1">IF(Table13411[[#This Row],[Day]]&lt;=7,"",MIN(IF(V18&lt;MAX(W11:W17),V18/MAX(W11:W17)-1,-1%),-1%))</f>
        <v/>
      </c>
      <c r="Z18" s="19"/>
      <c r="AB18" s="4">
        <f t="shared" ca="1" si="14"/>
        <v>45563</v>
      </c>
      <c r="AC18">
        <f t="shared" ca="1" si="7"/>
        <v>5</v>
      </c>
      <c r="AD18" s="1">
        <f t="shared" si="15"/>
        <v>115000</v>
      </c>
      <c r="AE18" s="6">
        <v>40000</v>
      </c>
      <c r="AF18" s="1">
        <v>0</v>
      </c>
      <c r="AG18" s="5">
        <f>Table1341112[[#This Row],[$Return]]/AVERAGE(Table1341112[[#This Row],[Starting]],Table1341112[[#This Row],[Starting]]+Table1341112[[#This Row],[Inflows]])</f>
        <v>0.34782608695652173</v>
      </c>
      <c r="AH18" s="2">
        <f t="shared" si="2"/>
        <v>155000</v>
      </c>
      <c r="AI18" s="18">
        <f ca="1">IF(Table1341112[[#This Row],[Day]]=1,100,AI17*(1+Table1341112[[#This Row],[Return]]))</f>
        <v>119.23076923076921</v>
      </c>
      <c r="AJ18" s="3">
        <f ca="1">EXP(-((30-Table1341112[[#This Row],[Day]])/30))</f>
        <v>0.4345982085070782</v>
      </c>
      <c r="AK18" s="5"/>
      <c r="AL18" s="5" t="str">
        <f ca="1">IF(Table1341112[[#This Row],[Day]]&lt;=7,"",MIN(IF(AI18&lt;MAX(AK11:AK17),AI18/MAX(AK11:AK17)-1,-1%),-1%))</f>
        <v/>
      </c>
      <c r="AM18" s="19"/>
      <c r="AO18" s="4">
        <f t="shared" ca="1" si="16"/>
        <v>45563</v>
      </c>
      <c r="AP18">
        <f t="shared" ca="1" si="8"/>
        <v>5</v>
      </c>
      <c r="AQ18" s="1">
        <v>259402.77</v>
      </c>
      <c r="AR18" s="6">
        <v>1748.11</v>
      </c>
      <c r="AS18" s="1">
        <v>0</v>
      </c>
      <c r="AT18" s="5">
        <f>Table134111213[[#This Row],[$Return]]/AVERAGE(Table134111213[[#This Row],[Starting]],Table134111213[[#This Row],[Starting]]+Table134111213[[#This Row],[Inflows]])</f>
        <v>6.7389796955522104E-3</v>
      </c>
      <c r="AU18" s="2">
        <f t="shared" si="3"/>
        <v>261150.87999999998</v>
      </c>
      <c r="AV18" s="18">
        <f ca="1">IF(Table134111213[[#This Row],[Day]]=1,100,AV17*(1+Table134111213[[#This Row],[Return]]))</f>
        <v>101.69289927370691</v>
      </c>
      <c r="AW18" s="3">
        <f ca="1">EXP(-((30-Table134111213[[#This Row],[Day]])/30))</f>
        <v>0.4345982085070782</v>
      </c>
      <c r="AX18" s="5"/>
      <c r="AY18" s="5" t="str">
        <f ca="1">IF(Table134111213[[#This Row],[Day]]&lt;=7,"",MIN(IF(AV18&lt;MAX(AX11:AX17),AV18/MAX(AX11:AX17)-1,-1%),-1%))</f>
        <v/>
      </c>
      <c r="AZ18" s="19"/>
      <c r="BB18" s="4">
        <f t="shared" ca="1" si="17"/>
        <v>45563</v>
      </c>
      <c r="BC18">
        <f t="shared" ca="1" si="9"/>
        <v>5</v>
      </c>
      <c r="BD18" s="1">
        <v>6955453.8399999999</v>
      </c>
      <c r="BE18" s="6">
        <v>5446.18</v>
      </c>
      <c r="BF18" s="1">
        <v>0</v>
      </c>
      <c r="BG18" s="5">
        <f>Table13411121314[[#This Row],[$Return]]/AVERAGE(Table13411121314[[#This Row],[Starting]],Table13411121314[[#This Row],[Starting]]+Table13411121314[[#This Row],[Inflows]])</f>
        <v>7.8300857503785844E-4</v>
      </c>
      <c r="BH18" s="2">
        <f t="shared" si="4"/>
        <v>6960900.0199999996</v>
      </c>
      <c r="BI18" s="18">
        <f ca="1">IF(Table13411121314[[#This Row],[Day]]=1,100,BI17*(1+Table13411121314[[#This Row],[Return]]))</f>
        <v>100.31549423241736</v>
      </c>
      <c r="BJ18" s="3">
        <f ca="1">EXP(-((30-Table13411121314[[#This Row],[Day]])/30))</f>
        <v>0.4345982085070782</v>
      </c>
      <c r="BK18" s="5"/>
      <c r="BL18" s="5" t="str">
        <f ca="1">IF(Table13411121314[[#This Row],[Day]]&lt;=7,"",MIN(IF(BI18&lt;MAX(BK11:BK17),BI18/MAX(BK11:BK17)-1,0.5%),-1%))</f>
        <v/>
      </c>
      <c r="BM18" s="19"/>
    </row>
    <row r="19" spans="2:65" x14ac:dyDescent="0.45">
      <c r="B19" s="4">
        <f t="shared" ca="1" si="10"/>
        <v>45564</v>
      </c>
      <c r="C19">
        <f t="shared" ca="1" si="5"/>
        <v>6</v>
      </c>
      <c r="D19" s="1">
        <f t="shared" si="11"/>
        <v>109271</v>
      </c>
      <c r="E19" s="6">
        <v>-1299</v>
      </c>
      <c r="F19" s="1">
        <v>168</v>
      </c>
      <c r="G19" s="5">
        <f>Table1310[[#This Row],[$Return]]/AVERAGE(Table1310[[#This Row],[Starting]],Table1310[[#This Row],[Starting]]+Table1310[[#This Row],[Inflows]])</f>
        <v>-1.1878743541676192E-2</v>
      </c>
      <c r="H19" s="2">
        <f t="shared" si="0"/>
        <v>108140</v>
      </c>
      <c r="I19" s="18">
        <f ca="1">IF(Table1310[[#This Row],[Day]]=1,100,I18*(1+Table1310[[#This Row],[Return]]))</f>
        <v>104.83483943994671</v>
      </c>
      <c r="J19" s="3">
        <f ca="1">EXP(-((30-Table1310[[#This Row],[Day]])/30))</f>
        <v>0.44932896411722156</v>
      </c>
      <c r="K19" s="5"/>
      <c r="L19" s="5" t="str">
        <f ca="1">IF(Table1310[[#This Row],[Day]]&lt;=7,"",MIN(IF(I19&lt;MAX(I12:I18),I19/MAX(I12:I18)-1,-1%),-1%))</f>
        <v/>
      </c>
      <c r="M19" s="19"/>
      <c r="O19" s="4">
        <f t="shared" ca="1" si="12"/>
        <v>45564</v>
      </c>
      <c r="P19">
        <f t="shared" ca="1" si="6"/>
        <v>6</v>
      </c>
      <c r="Q19" s="1">
        <f t="shared" si="13"/>
        <v>100329</v>
      </c>
      <c r="R19" s="6">
        <v>-91</v>
      </c>
      <c r="S19" s="1">
        <v>0</v>
      </c>
      <c r="T19" s="5">
        <f>Table13411[[#This Row],[$Return]]/AVERAGE(Table13411[[#This Row],[Starting]],Table13411[[#This Row],[Starting]]+Table13411[[#This Row],[Inflows]])</f>
        <v>-9.0701591763099403E-4</v>
      </c>
      <c r="U19" s="2">
        <f t="shared" si="1"/>
        <v>100238</v>
      </c>
      <c r="V19" s="18">
        <f ca="1">IF(Table13411[[#This Row],[Day]]=1,100,V18*(1+Table13411[[#This Row],[Return]]))</f>
        <v>100.49123791955728</v>
      </c>
      <c r="W19" s="3">
        <f ca="1">EXP(-((30-Table13411[[#This Row],[Day]])/30))</f>
        <v>0.44932896411722156</v>
      </c>
      <c r="X19" s="5"/>
      <c r="Y19" s="5" t="str">
        <f ca="1">IF(Table13411[[#This Row],[Day]]&lt;=7,"",MIN(IF(V19&lt;MAX(W12:W18),V19/MAX(W12:W18)-1,-1%),-1%))</f>
        <v/>
      </c>
      <c r="Z19" s="19"/>
      <c r="AB19" s="4">
        <f t="shared" ca="1" si="14"/>
        <v>45564</v>
      </c>
      <c r="AC19">
        <f t="shared" ca="1" si="7"/>
        <v>6</v>
      </c>
      <c r="AD19" s="1">
        <f t="shared" si="15"/>
        <v>155000</v>
      </c>
      <c r="AE19" s="6">
        <v>-20000</v>
      </c>
      <c r="AF19" s="1">
        <v>0</v>
      </c>
      <c r="AG19" s="5">
        <f>Table1341112[[#This Row],[$Return]]/AVERAGE(Table1341112[[#This Row],[Starting]],Table1341112[[#This Row],[Starting]]+Table1341112[[#This Row],[Inflows]])</f>
        <v>-0.12903225806451613</v>
      </c>
      <c r="AH19" s="2">
        <f t="shared" si="2"/>
        <v>135000</v>
      </c>
      <c r="AI19" s="18">
        <f ca="1">IF(Table1341112[[#This Row],[Day]]=1,100,AI18*(1+Table1341112[[#This Row],[Return]]))</f>
        <v>103.84615384615383</v>
      </c>
      <c r="AJ19" s="3">
        <f ca="1">EXP(-((30-Table1341112[[#This Row],[Day]])/30))</f>
        <v>0.44932896411722156</v>
      </c>
      <c r="AK19" s="5"/>
      <c r="AL19" s="5" t="str">
        <f ca="1">IF(Table1341112[[#This Row],[Day]]&lt;=7,"",MIN(IF(AI19&lt;MAX(AK12:AK18),AI19/MAX(AK12:AK18)-1,-1%),-1%))</f>
        <v/>
      </c>
      <c r="AM19" s="19"/>
      <c r="AO19" s="4">
        <f t="shared" ca="1" si="16"/>
        <v>45564</v>
      </c>
      <c r="AP19">
        <f t="shared" ca="1" si="8"/>
        <v>6</v>
      </c>
      <c r="AQ19" s="1">
        <v>259090.49</v>
      </c>
      <c r="AR19" s="6">
        <v>-312.27999999999997</v>
      </c>
      <c r="AS19" s="1">
        <v>0</v>
      </c>
      <c r="AT19" s="5">
        <f>Table134111213[[#This Row],[$Return]]/AVERAGE(Table134111213[[#This Row],[Starting]],Table134111213[[#This Row],[Starting]]+Table134111213[[#This Row],[Inflows]])</f>
        <v>-1.2052931776847539E-3</v>
      </c>
      <c r="AU19" s="2">
        <f t="shared" si="3"/>
        <v>258778.21</v>
      </c>
      <c r="AV19" s="18">
        <f ca="1">IF(Table134111213[[#This Row],[Day]]=1,100,AV18*(1+Table134111213[[#This Row],[Return]]))</f>
        <v>101.57032951599332</v>
      </c>
      <c r="AW19" s="3">
        <f ca="1">EXP(-((30-Table134111213[[#This Row],[Day]])/30))</f>
        <v>0.44932896411722156</v>
      </c>
      <c r="AX19" s="5"/>
      <c r="AY19" s="5" t="str">
        <f ca="1">IF(Table134111213[[#This Row],[Day]]&lt;=7,"",MIN(IF(AV19&lt;MAX(AX12:AX18),AV19/MAX(AX12:AX18)-1,-1%),-1%))</f>
        <v/>
      </c>
      <c r="AZ19" s="19"/>
      <c r="BB19" s="4">
        <f t="shared" ca="1" si="17"/>
        <v>45564</v>
      </c>
      <c r="BC19">
        <f t="shared" ca="1" si="9"/>
        <v>6</v>
      </c>
      <c r="BD19" s="1">
        <v>6959017.7999999998</v>
      </c>
      <c r="BE19" s="6">
        <v>3563.96</v>
      </c>
      <c r="BF19" s="1">
        <v>0</v>
      </c>
      <c r="BG19" s="5">
        <f>Table13411121314[[#This Row],[$Return]]/AVERAGE(Table13411121314[[#This Row],[Starting]],Table13411121314[[#This Row],[Starting]]+Table13411121314[[#This Row],[Inflows]])</f>
        <v>5.1213549130453442E-4</v>
      </c>
      <c r="BH19" s="2">
        <f t="shared" si="4"/>
        <v>6962581.7599999998</v>
      </c>
      <c r="BI19" s="18">
        <f ca="1">IF(Table13411121314[[#This Row],[Day]]=1,100,BI18*(1+Table13411121314[[#This Row],[Return]]))</f>
        <v>100.36686935734153</v>
      </c>
      <c r="BJ19" s="3">
        <f ca="1">EXP(-((30-Table13411121314[[#This Row],[Day]])/30))</f>
        <v>0.44932896411722156</v>
      </c>
      <c r="BK19" s="5"/>
      <c r="BL19" s="5" t="str">
        <f ca="1">IF(Table13411121314[[#This Row],[Day]]&lt;=7,"",MIN(IF(BI19&lt;MAX(BK12:BK18),BI19/MAX(BK12:BK18)-1,0.5%),-1%))</f>
        <v/>
      </c>
      <c r="BM19" s="19"/>
    </row>
    <row r="20" spans="2:65" x14ac:dyDescent="0.45">
      <c r="B20" s="4">
        <f t="shared" ca="1" si="10"/>
        <v>45565</v>
      </c>
      <c r="C20">
        <f t="shared" ca="1" si="5"/>
        <v>7</v>
      </c>
      <c r="D20" s="1">
        <f t="shared" si="11"/>
        <v>108140</v>
      </c>
      <c r="E20" s="6">
        <v>-1244</v>
      </c>
      <c r="F20" s="1">
        <v>48</v>
      </c>
      <c r="G20" s="5">
        <f>Table1310[[#This Row],[$Return]]/AVERAGE(Table1310[[#This Row],[Starting]],Table1310[[#This Row],[Starting]]+Table1310[[#This Row],[Inflows]])</f>
        <v>-1.1501053955105211E-2</v>
      </c>
      <c r="H20" s="2">
        <f t="shared" si="0"/>
        <v>106944</v>
      </c>
      <c r="I20" s="18">
        <f ca="1">IF(Table1310[[#This Row],[Day]]=1,100,I19*(1+Table1310[[#This Row],[Return]]))</f>
        <v>103.62912829517308</v>
      </c>
      <c r="J20" s="3">
        <f ca="1">EXP(-((30-Table1310[[#This Row],[Day]])/30))</f>
        <v>0.46455902036091146</v>
      </c>
      <c r="K20" s="5"/>
      <c r="L20" s="5" t="str">
        <f ca="1">IF(Table1310[[#This Row],[Day]]&lt;=7,"",MIN(IF(I20&lt;MAX(I13:I19),I20/MAX(I13:I19)-1,-1%),-1%))</f>
        <v/>
      </c>
      <c r="M20" s="19"/>
      <c r="O20" s="4">
        <f t="shared" ca="1" si="12"/>
        <v>45565</v>
      </c>
      <c r="P20">
        <f t="shared" ca="1" si="6"/>
        <v>7</v>
      </c>
      <c r="Q20" s="1">
        <f t="shared" si="13"/>
        <v>100238</v>
      </c>
      <c r="R20" s="6">
        <v>-991</v>
      </c>
      <c r="S20" s="1">
        <v>0</v>
      </c>
      <c r="T20" s="5">
        <f>Table13411[[#This Row],[$Return]]/AVERAGE(Table13411[[#This Row],[Starting]],Table13411[[#This Row],[Starting]]+Table13411[[#This Row],[Inflows]])</f>
        <v>-9.8864702009218066E-3</v>
      </c>
      <c r="U20" s="2">
        <f t="shared" si="1"/>
        <v>99247</v>
      </c>
      <c r="V20" s="18">
        <f ca="1">IF(Table13411[[#This Row],[Day]]=1,100,V19*(1+Table13411[[#This Row],[Return]]))</f>
        <v>99.497734290411827</v>
      </c>
      <c r="W20" s="3">
        <f ca="1">EXP(-((30-Table13411[[#This Row],[Day]])/30))</f>
        <v>0.46455902036091146</v>
      </c>
      <c r="X20" s="5"/>
      <c r="Y20" s="5" t="str">
        <f ca="1">IF(Table13411[[#This Row],[Day]]&lt;=7,"",MIN(IF(V20&lt;MAX(V13:V19),V20/MAX(V13:V19)-1,-1%),-1%))</f>
        <v/>
      </c>
      <c r="Z20" s="19"/>
      <c r="AB20" s="4">
        <f t="shared" ca="1" si="14"/>
        <v>45565</v>
      </c>
      <c r="AC20">
        <f t="shared" ca="1" si="7"/>
        <v>7</v>
      </c>
      <c r="AD20" s="1">
        <f t="shared" si="15"/>
        <v>135000</v>
      </c>
      <c r="AE20" s="6">
        <v>62000</v>
      </c>
      <c r="AF20" s="1">
        <v>0</v>
      </c>
      <c r="AG20" s="5">
        <f>Table1341112[[#This Row],[$Return]]/AVERAGE(Table1341112[[#This Row],[Starting]],Table1341112[[#This Row],[Starting]]+Table1341112[[#This Row],[Inflows]])</f>
        <v>0.45925925925925926</v>
      </c>
      <c r="AH20" s="2">
        <f t="shared" si="2"/>
        <v>197000</v>
      </c>
      <c r="AI20" s="18">
        <f ca="1">IF(Table1341112[[#This Row],[Day]]=1,100,AI19*(1+Table1341112[[#This Row],[Return]]))</f>
        <v>151.53846153846152</v>
      </c>
      <c r="AJ20" s="3">
        <f ca="1">EXP(-((30-Table1341112[[#This Row],[Day]])/30))</f>
        <v>0.46455902036091146</v>
      </c>
      <c r="AK20" s="5"/>
      <c r="AL20" s="5" t="str">
        <f ca="1">IF(Table1341112[[#This Row],[Day]]&lt;=7,"",MIN(IF(AI20&lt;MAX(AI13:AI19),AI20/MAX(AI13:AI19)-1,-1%),-1%))</f>
        <v/>
      </c>
      <c r="AM20" s="19"/>
      <c r="AO20" s="4">
        <f t="shared" ca="1" si="16"/>
        <v>45565</v>
      </c>
      <c r="AP20">
        <f t="shared" ca="1" si="8"/>
        <v>7</v>
      </c>
      <c r="AQ20" s="1">
        <v>260549.97</v>
      </c>
      <c r="AR20" s="6">
        <v>1459.48</v>
      </c>
      <c r="AS20" s="1">
        <v>0</v>
      </c>
      <c r="AT20" s="5">
        <f>Table134111213[[#This Row],[$Return]]/AVERAGE(Table134111213[[#This Row],[Starting]],Table134111213[[#This Row],[Starting]]+Table134111213[[#This Row],[Inflows]])</f>
        <v>5.6015358589371553E-3</v>
      </c>
      <c r="AU20" s="2">
        <f t="shared" si="3"/>
        <v>262009.45</v>
      </c>
      <c r="AV20" s="18">
        <f ca="1">IF(Table134111213[[#This Row],[Day]]=1,100,AV19*(1+Table134111213[[#This Row],[Return]]))</f>
        <v>102.13927935898123</v>
      </c>
      <c r="AW20" s="3">
        <f ca="1">EXP(-((30-Table134111213[[#This Row],[Day]])/30))</f>
        <v>0.46455902036091146</v>
      </c>
      <c r="AX20" s="5"/>
      <c r="AY20" s="5" t="str">
        <f ca="1">IF(Table134111213[[#This Row],[Day]]&lt;=7,"",MIN(IF(AV20&lt;MAX(AV13:AV19),AV20/MAX(AV13:AV19)-1,-1%),-1%))</f>
        <v/>
      </c>
      <c r="AZ20" s="19"/>
      <c r="BB20" s="4">
        <f t="shared" ca="1" si="17"/>
        <v>45565</v>
      </c>
      <c r="BC20">
        <f t="shared" ca="1" si="9"/>
        <v>7</v>
      </c>
      <c r="BD20" s="1">
        <v>6969589.6699999999</v>
      </c>
      <c r="BE20" s="6">
        <v>10571.87</v>
      </c>
      <c r="BF20" s="1">
        <v>0</v>
      </c>
      <c r="BG20" s="5">
        <f>Table13411121314[[#This Row],[$Return]]/AVERAGE(Table13411121314[[#This Row],[Starting]],Table13411121314[[#This Row],[Starting]]+Table13411121314[[#This Row],[Inflows]])</f>
        <v>1.5168568740145073E-3</v>
      </c>
      <c r="BH20" s="2">
        <f t="shared" si="4"/>
        <v>6980161.54</v>
      </c>
      <c r="BI20" s="18">
        <f ca="1">IF(Table13411121314[[#This Row],[Day]]=1,100,BI19*(1+Table13411121314[[#This Row],[Return]]))</f>
        <v>100.51911153304953</v>
      </c>
      <c r="BJ20" s="3">
        <f ca="1">EXP(-((30-Table13411121314[[#This Row],[Day]])/30))</f>
        <v>0.46455902036091146</v>
      </c>
      <c r="BK20" s="5"/>
      <c r="BL20" s="5" t="str">
        <f ca="1">IF(Table13411121314[[#This Row],[Day]]&lt;=7,"",MIN(IF(BI20&lt;MAX(BI13:BI19),BI20/MAX(BI13:BI19)-1,0.5%),-1%))</f>
        <v/>
      </c>
      <c r="BM20" s="19"/>
    </row>
    <row r="21" spans="2:65" x14ac:dyDescent="0.45">
      <c r="B21" s="4">
        <f t="shared" ca="1" si="10"/>
        <v>45566</v>
      </c>
      <c r="C21">
        <f t="shared" ca="1" si="5"/>
        <v>8</v>
      </c>
      <c r="D21" s="1">
        <f t="shared" si="11"/>
        <v>106944</v>
      </c>
      <c r="E21" s="6">
        <v>133</v>
      </c>
      <c r="F21" s="1">
        <v>103</v>
      </c>
      <c r="G21" s="5">
        <f>Table1310[[#This Row],[$Return]]/AVERAGE(Table1310[[#This Row],[Starting]],Table1310[[#This Row],[Starting]]+Table1310[[#This Row],[Inflows]])</f>
        <v>1.2430429317120814E-3</v>
      </c>
      <c r="H21" s="2">
        <f t="shared" si="0"/>
        <v>107180</v>
      </c>
      <c r="I21" s="18">
        <f ca="1">IF(Table1310[[#This Row],[Day]]=1,100,I20*(1+Table1310[[#This Row],[Return]]))</f>
        <v>103.75794375061987</v>
      </c>
      <c r="J21" s="3">
        <f ca="1">EXP(-((30-Table1310[[#This Row],[Day]])/30))</f>
        <v>0.48030530108979941</v>
      </c>
      <c r="K21" s="5"/>
      <c r="L21" s="5">
        <f ca="1">IF(Table1310[[#This Row],[Day]]&lt;=7,"",MIN(IF(I21&lt;MAX(I14:I20),I21/MAX(I14:I20)-1,-1%),-1%))</f>
        <v>-2.2029028764574243E-2</v>
      </c>
      <c r="M21" s="19"/>
      <c r="O21" s="4">
        <f t="shared" ca="1" si="12"/>
        <v>45566</v>
      </c>
      <c r="P21">
        <f t="shared" ca="1" si="6"/>
        <v>8</v>
      </c>
      <c r="Q21" s="1">
        <f t="shared" si="13"/>
        <v>99247</v>
      </c>
      <c r="R21" s="6">
        <v>103</v>
      </c>
      <c r="S21" s="1">
        <v>0</v>
      </c>
      <c r="T21" s="5">
        <f>Table13411[[#This Row],[$Return]]/AVERAGE(Table13411[[#This Row],[Starting]],Table13411[[#This Row],[Starting]]+Table13411[[#This Row],[Inflows]])</f>
        <v>1.0378147450300764E-3</v>
      </c>
      <c r="U21" s="2">
        <f t="shared" si="1"/>
        <v>99350</v>
      </c>
      <c r="V21" s="18">
        <f ca="1">IF(Table13411[[#This Row],[Day]]=1,100,V20*(1+Table13411[[#This Row],[Return]]))</f>
        <v>99.600994506155502</v>
      </c>
      <c r="W21" s="3">
        <f ca="1">EXP(-((30-Table13411[[#This Row],[Day]])/30))</f>
        <v>0.48030530108979941</v>
      </c>
      <c r="X21" s="5"/>
      <c r="Y21" s="5">
        <f ca="1">IF(Table13411[[#This Row],[Day]]&lt;=7,"",MIN(IF(V21&lt;MAX(V14:V20),V21/MAX(V14:V20)-1,-1%),-1%))</f>
        <v>-1.166897128020461E-2</v>
      </c>
      <c r="Z21" s="19"/>
      <c r="AB21" s="4">
        <f t="shared" ca="1" si="14"/>
        <v>45566</v>
      </c>
      <c r="AC21">
        <f t="shared" ca="1" si="7"/>
        <v>8</v>
      </c>
      <c r="AD21" s="1">
        <f t="shared" si="15"/>
        <v>197000</v>
      </c>
      <c r="AE21" s="6">
        <v>-20000</v>
      </c>
      <c r="AF21" s="1">
        <v>0</v>
      </c>
      <c r="AG21" s="5">
        <f>Table1341112[[#This Row],[$Return]]/AVERAGE(Table1341112[[#This Row],[Starting]],Table1341112[[#This Row],[Starting]]+Table1341112[[#This Row],[Inflows]])</f>
        <v>-0.10152284263959391</v>
      </c>
      <c r="AH21" s="2">
        <f t="shared" si="2"/>
        <v>177000</v>
      </c>
      <c r="AI21" s="18">
        <f ca="1">IF(Table1341112[[#This Row],[Day]]=1,100,AI20*(1+Table1341112[[#This Row],[Return]]))</f>
        <v>136.15384615384613</v>
      </c>
      <c r="AJ21" s="3">
        <f ca="1">EXP(-((30-Table1341112[[#This Row],[Day]])/30))</f>
        <v>0.48030530108979941</v>
      </c>
      <c r="AK21" s="5"/>
      <c r="AL21" s="5">
        <f ca="1">IF(Table1341112[[#This Row],[Day]]&lt;=7,"",MIN(IF(AI21&lt;MAX(AI14:AI20),AI21/MAX(AI14:AI20)-1,-1%),-1%))</f>
        <v>-0.10152284263959399</v>
      </c>
      <c r="AM21" s="19"/>
      <c r="AO21" s="4">
        <f t="shared" ca="1" si="16"/>
        <v>45566</v>
      </c>
      <c r="AP21">
        <f t="shared" ca="1" si="8"/>
        <v>8</v>
      </c>
      <c r="AQ21" s="1">
        <v>259716.6</v>
      </c>
      <c r="AR21" s="6">
        <v>-833.37</v>
      </c>
      <c r="AS21" s="1">
        <v>0</v>
      </c>
      <c r="AT21" s="5">
        <f>Table134111213[[#This Row],[$Return]]/AVERAGE(Table134111213[[#This Row],[Starting]],Table134111213[[#This Row],[Starting]]+Table134111213[[#This Row],[Inflows]])</f>
        <v>-3.2087667865665884E-3</v>
      </c>
      <c r="AU21" s="2">
        <f t="shared" si="3"/>
        <v>258883.23</v>
      </c>
      <c r="AV21" s="18">
        <f ca="1">IF(Table134111213[[#This Row],[Day]]=1,100,AV20*(1+Table134111213[[#This Row],[Return]]))</f>
        <v>101.81153823177029</v>
      </c>
      <c r="AW21" s="3">
        <f ca="1">EXP(-((30-Table134111213[[#This Row],[Day]])/30))</f>
        <v>0.48030530108979941</v>
      </c>
      <c r="AX21" s="5"/>
      <c r="AY21" s="5">
        <f ca="1">IF(Table134111213[[#This Row],[Day]]&lt;=7,"",MIN(IF(AV21&lt;MAX(AV14:AV20),AV21/MAX(AV14:AV20)-1,-1%),-1%))</f>
        <v>-0.01</v>
      </c>
      <c r="AZ21" s="19"/>
      <c r="BB21" s="4">
        <f t="shared" ca="1" si="17"/>
        <v>45566</v>
      </c>
      <c r="BC21">
        <f t="shared" ca="1" si="9"/>
        <v>8</v>
      </c>
      <c r="BD21" s="1">
        <v>6979311.7699999996</v>
      </c>
      <c r="BE21" s="6">
        <v>9722.11</v>
      </c>
      <c r="BF21" s="1">
        <v>-1700000</v>
      </c>
      <c r="BG21" s="5">
        <f>Table13411121314[[#This Row],[$Return]]/AVERAGE(Table13411121314[[#This Row],[Starting]],Table13411121314[[#This Row],[Starting]]+Table13411121314[[#This Row],[Inflows]])</f>
        <v>1.5861666635371692E-3</v>
      </c>
      <c r="BH21" s="2">
        <f t="shared" si="4"/>
        <v>5289033.88</v>
      </c>
      <c r="BI21" s="18">
        <f ca="1">IF(Table13411121314[[#This Row],[Day]]=1,100,BI20*(1+Table13411121314[[#This Row],[Return]]))</f>
        <v>100.67855159681162</v>
      </c>
      <c r="BJ21" s="3">
        <f ca="1">EXP(-((30-Table13411121314[[#This Row],[Day]])/30))</f>
        <v>0.48030530108979941</v>
      </c>
      <c r="BK21" s="5"/>
      <c r="BL21" s="5">
        <f ca="1">IF(Table13411121314[[#This Row],[Day]]&lt;=7,"",MIN(IF(BI21&lt;MAX(BI14:BI20),BI21/MAX(BI14:BI20)-1,0.5%),-1%))</f>
        <v>-0.01</v>
      </c>
      <c r="BM21" s="19"/>
    </row>
    <row r="22" spans="2:65" x14ac:dyDescent="0.45">
      <c r="B22" s="4">
        <f t="shared" ca="1" si="10"/>
        <v>45567</v>
      </c>
      <c r="C22">
        <f t="shared" ca="1" si="5"/>
        <v>9</v>
      </c>
      <c r="D22" s="1">
        <f t="shared" si="11"/>
        <v>107180</v>
      </c>
      <c r="E22" s="6">
        <v>-2189</v>
      </c>
      <c r="F22" s="1">
        <v>28</v>
      </c>
      <c r="G22" s="5">
        <f>Table1310[[#This Row],[$Return]]/AVERAGE(Table1310[[#This Row],[Starting]],Table1310[[#This Row],[Starting]]+Table1310[[#This Row],[Inflows]])</f>
        <v>-2.0420919081291865E-2</v>
      </c>
      <c r="H22" s="2">
        <f t="shared" si="0"/>
        <v>105019</v>
      </c>
      <c r="I22" s="18">
        <f ca="1">IF(Table1310[[#This Row],[Day]]=1,100,I21*(1+Table1310[[#This Row],[Return]]))</f>
        <v>101.63911117724723</v>
      </c>
      <c r="J22" s="3">
        <f ca="1">EXP(-((30-Table1310[[#This Row],[Day]])/30))</f>
        <v>0.49658530379140953</v>
      </c>
      <c r="K22" s="5"/>
      <c r="L22" s="5">
        <f ca="1">IF(Table1310[[#This Row],[Day]]&lt;=7,"",MIN(IF(I22&lt;MAX(I15:I21),I22/MAX(I15:I21)-1,-1%),-1%))</f>
        <v>-4.200009483202527E-2</v>
      </c>
      <c r="M22" s="19"/>
      <c r="O22" s="4">
        <f t="shared" ca="1" si="12"/>
        <v>45567</v>
      </c>
      <c r="P22">
        <f t="shared" ca="1" si="6"/>
        <v>9</v>
      </c>
      <c r="Q22" s="1">
        <f t="shared" si="13"/>
        <v>99350</v>
      </c>
      <c r="R22" s="6">
        <v>541</v>
      </c>
      <c r="S22" s="1">
        <v>0</v>
      </c>
      <c r="T22" s="5">
        <f>Table13411[[#This Row],[$Return]]/AVERAGE(Table13411[[#This Row],[Starting]],Table13411[[#This Row],[Starting]]+Table13411[[#This Row],[Inflows]])</f>
        <v>5.4453950679416207E-3</v>
      </c>
      <c r="U22" s="2">
        <f t="shared" si="1"/>
        <v>99891</v>
      </c>
      <c r="V22" s="18">
        <f ca="1">IF(Table13411[[#This Row],[Day]]=1,100,V21*(1+Table13411[[#This Row],[Return]]))</f>
        <v>100.1433612704014</v>
      </c>
      <c r="W22" s="3">
        <f ca="1">EXP(-((30-Table13411[[#This Row],[Day]])/30))</f>
        <v>0.49658530379140953</v>
      </c>
      <c r="X22" s="5"/>
      <c r="Y22" s="5">
        <f ca="1">IF(Table13411[[#This Row],[Day]]&lt;=7,"",MIN(IF(V22&lt;MAX(V15:V21),V22/MAX(V15:V21)-1,-1%),-1%))</f>
        <v>-0.01</v>
      </c>
      <c r="Z22" s="19"/>
      <c r="AB22" s="4">
        <f t="shared" ca="1" si="14"/>
        <v>45567</v>
      </c>
      <c r="AC22">
        <f t="shared" ca="1" si="7"/>
        <v>9</v>
      </c>
      <c r="AD22" s="1">
        <f t="shared" si="15"/>
        <v>177000</v>
      </c>
      <c r="AE22" s="6">
        <v>35000</v>
      </c>
      <c r="AF22" s="1">
        <v>0</v>
      </c>
      <c r="AG22" s="5">
        <f>Table1341112[[#This Row],[$Return]]/AVERAGE(Table1341112[[#This Row],[Starting]],Table1341112[[#This Row],[Starting]]+Table1341112[[#This Row],[Inflows]])</f>
        <v>0.19774011299435029</v>
      </c>
      <c r="AH22" s="2">
        <f t="shared" si="2"/>
        <v>212000</v>
      </c>
      <c r="AI22" s="18">
        <f ca="1">IF(Table1341112[[#This Row],[Day]]=1,100,AI21*(1+Table1341112[[#This Row],[Return]]))</f>
        <v>163.07692307692307</v>
      </c>
      <c r="AJ22" s="3">
        <f ca="1">EXP(-((30-Table1341112[[#This Row],[Day]])/30))</f>
        <v>0.49658530379140953</v>
      </c>
      <c r="AK22" s="5"/>
      <c r="AL22" s="5">
        <f ca="1">IF(Table1341112[[#This Row],[Day]]&lt;=7,"",MIN(IF(AI22&lt;MAX(AI15:AI21),AI22/MAX(AI15:AI21)-1,-1%),-1%))</f>
        <v>-0.01</v>
      </c>
      <c r="AM22" s="19"/>
      <c r="AO22" s="4">
        <f t="shared" ca="1" si="16"/>
        <v>45567</v>
      </c>
      <c r="AP22">
        <f t="shared" ca="1" si="8"/>
        <v>9</v>
      </c>
      <c r="AQ22" s="1">
        <v>261775.62</v>
      </c>
      <c r="AR22" s="6">
        <v>2059.02</v>
      </c>
      <c r="AS22" s="1">
        <v>30011</v>
      </c>
      <c r="AT22" s="5">
        <f>Table134111213[[#This Row],[$Return]]/AVERAGE(Table134111213[[#This Row],[Starting]],Table134111213[[#This Row],[Starting]]+Table134111213[[#This Row],[Inflows]])</f>
        <v>7.4391634805148557E-3</v>
      </c>
      <c r="AU22" s="2">
        <f t="shared" si="3"/>
        <v>293845.64</v>
      </c>
      <c r="AV22" s="18">
        <f ca="1">IF(Table134111213[[#This Row],[Day]]=1,100,AV21*(1+Table134111213[[#This Row],[Return]]))</f>
        <v>102.56893090887911</v>
      </c>
      <c r="AW22" s="3">
        <f ca="1">EXP(-((30-Table134111213[[#This Row],[Day]])/30))</f>
        <v>0.49658530379140953</v>
      </c>
      <c r="AX22" s="5"/>
      <c r="AY22" s="5">
        <f ca="1">IF(Table134111213[[#This Row],[Day]]&lt;=7,"",MIN(IF(AV22&lt;MAX(AV15:AV21),AV22/MAX(AV15:AV21)-1,-1%),-1%))</f>
        <v>-0.01</v>
      </c>
      <c r="AZ22" s="19"/>
      <c r="BB22" s="4">
        <f t="shared" ca="1" si="17"/>
        <v>45567</v>
      </c>
      <c r="BC22">
        <f t="shared" ca="1" si="9"/>
        <v>9</v>
      </c>
      <c r="BD22" s="1">
        <v>5283341.16</v>
      </c>
      <c r="BE22" s="6">
        <v>4029.39</v>
      </c>
      <c r="BF22" s="1">
        <v>1700000</v>
      </c>
      <c r="BG22" s="5">
        <f>Table13411121314[[#This Row],[$Return]]/AVERAGE(Table13411121314[[#This Row],[Starting]],Table13411121314[[#This Row],[Starting]]+Table13411121314[[#This Row],[Inflows]])</f>
        <v>6.5696492252519665E-4</v>
      </c>
      <c r="BH22" s="2">
        <f t="shared" si="4"/>
        <v>6987370.5499999998</v>
      </c>
      <c r="BI22" s="18">
        <f ca="1">IF(Table13411121314[[#This Row],[Day]]=1,100,BI21*(1+Table13411121314[[#This Row],[Return]]))</f>
        <v>100.74469387366136</v>
      </c>
      <c r="BJ22" s="3">
        <f ca="1">EXP(-((30-Table13411121314[[#This Row],[Day]])/30))</f>
        <v>0.49658530379140953</v>
      </c>
      <c r="BK22" s="5"/>
      <c r="BL22" s="5">
        <f ca="1">IF(Table13411121314[[#This Row],[Day]]&lt;=7,"",MIN(IF(BI22&lt;MAX(BI15:BI21),BI22/MAX(BI15:BI21)-1,0.5%),-1%))</f>
        <v>-0.01</v>
      </c>
      <c r="BM22" s="19"/>
    </row>
    <row r="23" spans="2:65" x14ac:dyDescent="0.45">
      <c r="B23" s="4">
        <f t="shared" ca="1" si="10"/>
        <v>45568</v>
      </c>
      <c r="C23">
        <f t="shared" ca="1" si="5"/>
        <v>10</v>
      </c>
      <c r="D23" s="1">
        <f t="shared" si="11"/>
        <v>105019</v>
      </c>
      <c r="E23" s="6">
        <v>3783</v>
      </c>
      <c r="F23" s="1">
        <v>672</v>
      </c>
      <c r="G23" s="5">
        <f>Table1310[[#This Row],[$Return]]/AVERAGE(Table1310[[#This Row],[Starting]],Table1310[[#This Row],[Starting]]+Table1310[[#This Row],[Inflows]])</f>
        <v>3.5907170993308341E-2</v>
      </c>
      <c r="H23" s="2">
        <f t="shared" si="0"/>
        <v>109474</v>
      </c>
      <c r="I23" s="18">
        <f ca="1">IF(Table1310[[#This Row],[Day]]=1,100,I22*(1+Table1310[[#This Row],[Return]]))</f>
        <v>105.28868412189652</v>
      </c>
      <c r="J23" s="3">
        <f ca="1">EXP(-((30-Table1310[[#This Row],[Day]])/30))</f>
        <v>0.51341711903259202</v>
      </c>
      <c r="K23" s="5"/>
      <c r="L23" s="5">
        <f ca="1">IF(Table1310[[#This Row],[Day]]&lt;=7,"",MIN(IF(I23&lt;MAX(I16:I22),I23/MAX(I16:I22)-1,-1%),-1%))</f>
        <v>-0.01</v>
      </c>
      <c r="M23" s="19"/>
      <c r="O23" s="4">
        <f t="shared" ca="1" si="12"/>
        <v>45568</v>
      </c>
      <c r="P23">
        <f t="shared" ca="1" si="6"/>
        <v>10</v>
      </c>
      <c r="Q23" s="1">
        <f t="shared" si="13"/>
        <v>99891</v>
      </c>
      <c r="R23" s="6">
        <v>313</v>
      </c>
      <c r="S23" s="1">
        <v>0</v>
      </c>
      <c r="T23" s="5">
        <f>Table13411[[#This Row],[$Return]]/AVERAGE(Table13411[[#This Row],[Starting]],Table13411[[#This Row],[Starting]]+Table13411[[#This Row],[Inflows]])</f>
        <v>3.1334154228108636E-3</v>
      </c>
      <c r="U23" s="2">
        <f t="shared" si="1"/>
        <v>100204</v>
      </c>
      <c r="V23" s="18">
        <f ca="1">IF(Table13411[[#This Row],[Day]]=1,100,V22*(1+Table13411[[#This Row],[Return]]))</f>
        <v>100.4571520230982</v>
      </c>
      <c r="W23" s="3">
        <f ca="1">EXP(-((30-Table13411[[#This Row],[Day]])/30))</f>
        <v>0.51341711903259202</v>
      </c>
      <c r="X23" s="5"/>
      <c r="Y23" s="5">
        <f ca="1">IF(Table13411[[#This Row],[Day]]&lt;=7,"",MIN(IF(V23&lt;MAX(V16:V22),V23/MAX(V16:V22)-1,-1%),-1%))</f>
        <v>-0.01</v>
      </c>
      <c r="Z23" s="19"/>
      <c r="AB23" s="4">
        <f t="shared" ca="1" si="14"/>
        <v>45568</v>
      </c>
      <c r="AC23">
        <f t="shared" ca="1" si="7"/>
        <v>10</v>
      </c>
      <c r="AD23" s="1">
        <f t="shared" si="15"/>
        <v>212000</v>
      </c>
      <c r="AE23" s="6">
        <v>-20000</v>
      </c>
      <c r="AF23" s="1">
        <v>0</v>
      </c>
      <c r="AG23" s="5">
        <f>Table1341112[[#This Row],[$Return]]/AVERAGE(Table1341112[[#This Row],[Starting]],Table1341112[[#This Row],[Starting]]+Table1341112[[#This Row],[Inflows]])</f>
        <v>-9.4339622641509441E-2</v>
      </c>
      <c r="AH23" s="2">
        <f t="shared" si="2"/>
        <v>192000</v>
      </c>
      <c r="AI23" s="18">
        <f ca="1">IF(Table1341112[[#This Row],[Day]]=1,100,AI22*(1+Table1341112[[#This Row],[Return]]))</f>
        <v>147.69230769230768</v>
      </c>
      <c r="AJ23" s="3">
        <f ca="1">EXP(-((30-Table1341112[[#This Row],[Day]])/30))</f>
        <v>0.51341711903259202</v>
      </c>
      <c r="AK23" s="5"/>
      <c r="AL23" s="5">
        <f ca="1">IF(Table1341112[[#This Row],[Day]]&lt;=7,"",MIN(IF(AI23&lt;MAX(AI16:AI22),AI23/MAX(AI16:AI22)-1,-1%),-1%))</f>
        <v>-9.4339622641509413E-2</v>
      </c>
      <c r="AM23" s="19"/>
      <c r="AO23" s="4">
        <f t="shared" ca="1" si="16"/>
        <v>45568</v>
      </c>
      <c r="AP23">
        <f t="shared" ca="1" si="8"/>
        <v>10</v>
      </c>
      <c r="AQ23" s="1">
        <v>294397.42</v>
      </c>
      <c r="AR23" s="6">
        <v>2610.8000000000002</v>
      </c>
      <c r="AS23" s="1">
        <v>0</v>
      </c>
      <c r="AT23" s="5">
        <f>Table134111213[[#This Row],[$Return]]/AVERAGE(Table134111213[[#This Row],[Starting]],Table134111213[[#This Row],[Starting]]+Table134111213[[#This Row],[Inflows]])</f>
        <v>8.8682842397192208E-3</v>
      </c>
      <c r="AU23" s="2">
        <f t="shared" si="3"/>
        <v>297008.21999999997</v>
      </c>
      <c r="AV23" s="18">
        <f ca="1">IF(Table134111213[[#This Row],[Day]]=1,100,AV22*(1+Table134111213[[#This Row],[Return]]))</f>
        <v>103.47854134234316</v>
      </c>
      <c r="AW23" s="3">
        <f ca="1">EXP(-((30-Table134111213[[#This Row],[Day]])/30))</f>
        <v>0.51341711903259202</v>
      </c>
      <c r="AX23" s="5"/>
      <c r="AY23" s="5">
        <f ca="1">IF(Table134111213[[#This Row],[Day]]&lt;=7,"",MIN(IF(AV23&lt;MAX(AV16:AV22),AV23/MAX(AV16:AV22)-1,-1%),-1%))</f>
        <v>-0.01</v>
      </c>
      <c r="AZ23" s="19"/>
      <c r="BB23" s="4">
        <f t="shared" ca="1" si="17"/>
        <v>45568</v>
      </c>
      <c r="BC23">
        <f t="shared" ca="1" si="9"/>
        <v>10</v>
      </c>
      <c r="BD23" s="1">
        <v>6962700.8399999999</v>
      </c>
      <c r="BE23" s="6">
        <v>-20640.32</v>
      </c>
      <c r="BF23" s="1">
        <v>0</v>
      </c>
      <c r="BG23" s="5">
        <f>Table13411121314[[#This Row],[$Return]]/AVERAGE(Table13411121314[[#This Row],[Starting]],Table13411121314[[#This Row],[Starting]]+Table13411121314[[#This Row],[Inflows]])</f>
        <v>-2.9644128728644331E-3</v>
      </c>
      <c r="BH23" s="2">
        <f t="shared" si="4"/>
        <v>6942060.5199999996</v>
      </c>
      <c r="BI23" s="18">
        <f ca="1">IF(Table13411121314[[#This Row],[Day]]=1,100,BI22*(1+Table13411121314[[#This Row],[Return]]))</f>
        <v>100.4460450062695</v>
      </c>
      <c r="BJ23" s="3">
        <f ca="1">EXP(-((30-Table13411121314[[#This Row],[Day]])/30))</f>
        <v>0.51341711903259202</v>
      </c>
      <c r="BK23" s="5"/>
      <c r="BL23" s="5">
        <f ca="1">IF(Table13411121314[[#This Row],[Day]]&lt;=7,"",MIN(IF(BI23&lt;MAX(BI16:BI22),BI23/MAX(BI16:BI22)-1,0.5%),-1%))</f>
        <v>-0.01</v>
      </c>
      <c r="BM23" s="19"/>
    </row>
    <row r="24" spans="2:65" x14ac:dyDescent="0.45">
      <c r="B24" s="4">
        <f t="shared" ca="1" si="10"/>
        <v>45569</v>
      </c>
      <c r="C24">
        <f t="shared" ca="1" si="5"/>
        <v>11</v>
      </c>
      <c r="D24" s="1">
        <f t="shared" si="11"/>
        <v>109474</v>
      </c>
      <c r="E24" s="6">
        <v>-2505</v>
      </c>
      <c r="F24" s="1">
        <v>566</v>
      </c>
      <c r="G24" s="5">
        <f>Table1310[[#This Row],[$Return]]/AVERAGE(Table1310[[#This Row],[Starting]],Table1310[[#This Row],[Starting]]+Table1310[[#This Row],[Inflows]])</f>
        <v>-2.2823145676357771E-2</v>
      </c>
      <c r="H24" s="2">
        <f t="shared" si="0"/>
        <v>107535</v>
      </c>
      <c r="I24" s="18">
        <f ca="1">IF(Table1310[[#This Row],[Day]]=1,100,I23*(1+Table1310[[#This Row],[Return]]))</f>
        <v>102.88566514611045</v>
      </c>
      <c r="J24" s="3">
        <f ca="1">EXP(-((30-Table1310[[#This Row],[Day]])/30))</f>
        <v>0.53081945056201396</v>
      </c>
      <c r="K24" s="5"/>
      <c r="L24" s="5">
        <f ca="1">IF(Table1310[[#This Row],[Day]]&lt;=7,"",MIN(IF(I24&lt;MAX(I17:I23),I24/MAX(I17:I23)-1,-1%),-1%))</f>
        <v>-3.025069472289621E-2</v>
      </c>
      <c r="M24" s="19"/>
      <c r="O24" s="4">
        <f t="shared" ca="1" si="12"/>
        <v>45569</v>
      </c>
      <c r="P24">
        <f t="shared" ca="1" si="6"/>
        <v>11</v>
      </c>
      <c r="Q24" s="1">
        <f t="shared" si="13"/>
        <v>100204</v>
      </c>
      <c r="R24" s="6">
        <v>-947</v>
      </c>
      <c r="S24" s="1">
        <v>0</v>
      </c>
      <c r="T24" s="5">
        <f>Table13411[[#This Row],[$Return]]/AVERAGE(Table13411[[#This Row],[Starting]],Table13411[[#This Row],[Starting]]+Table13411[[#This Row],[Inflows]])</f>
        <v>-9.4507205301185577E-3</v>
      </c>
      <c r="U24" s="2">
        <f t="shared" si="1"/>
        <v>99257</v>
      </c>
      <c r="V24" s="18">
        <f ca="1">IF(Table13411[[#This Row],[Day]]=1,100,V23*(1+Table13411[[#This Row],[Return]]))</f>
        <v>99.507759554076273</v>
      </c>
      <c r="W24" s="3">
        <f ca="1">EXP(-((30-Table13411[[#This Row],[Day]])/30))</f>
        <v>0.53081945056201396</v>
      </c>
      <c r="X24" s="5"/>
      <c r="Y24" s="5">
        <f ca="1">IF(Table13411[[#This Row],[Day]]&lt;=7,"",MIN(IF(V24&lt;MAX(V17:V23),V24/MAX(V17:V23)-1,-1%),-1%))</f>
        <v>-1.0684846853850738E-2</v>
      </c>
      <c r="Z24" s="19"/>
      <c r="AB24" s="4">
        <f t="shared" ca="1" si="14"/>
        <v>45569</v>
      </c>
      <c r="AC24">
        <f t="shared" ca="1" si="7"/>
        <v>11</v>
      </c>
      <c r="AD24" s="1">
        <f t="shared" si="15"/>
        <v>192000</v>
      </c>
      <c r="AE24" s="6">
        <v>35000</v>
      </c>
      <c r="AF24" s="1">
        <v>0</v>
      </c>
      <c r="AG24" s="5">
        <f>Table1341112[[#This Row],[$Return]]/AVERAGE(Table1341112[[#This Row],[Starting]],Table1341112[[#This Row],[Starting]]+Table1341112[[#This Row],[Inflows]])</f>
        <v>0.18229166666666666</v>
      </c>
      <c r="AH24" s="2">
        <f t="shared" si="2"/>
        <v>227000</v>
      </c>
      <c r="AI24" s="18">
        <f ca="1">IF(Table1341112[[#This Row],[Day]]=1,100,AI23*(1+Table1341112[[#This Row],[Return]]))</f>
        <v>174.61538461538461</v>
      </c>
      <c r="AJ24" s="3">
        <f ca="1">EXP(-((30-Table1341112[[#This Row],[Day]])/30))</f>
        <v>0.53081945056201396</v>
      </c>
      <c r="AK24" s="5"/>
      <c r="AL24" s="5">
        <f ca="1">IF(Table1341112[[#This Row],[Day]]&lt;=7,"",MIN(IF(AI24&lt;MAX(AI17:AI23),AI24/MAX(AI17:AI23)-1,-1%),-1%))</f>
        <v>-0.01</v>
      </c>
      <c r="AM24" s="19"/>
      <c r="AO24" s="4">
        <f t="shared" ca="1" si="16"/>
        <v>45569</v>
      </c>
      <c r="AP24">
        <f t="shared" ca="1" si="8"/>
        <v>11</v>
      </c>
      <c r="AQ24" s="1">
        <v>294262.8</v>
      </c>
      <c r="AR24" s="6">
        <v>-134.63</v>
      </c>
      <c r="AS24" s="1">
        <v>0</v>
      </c>
      <c r="AT24" s="5">
        <f>Table134111213[[#This Row],[$Return]]/AVERAGE(Table134111213[[#This Row],[Starting]],Table134111213[[#This Row],[Starting]]+Table134111213[[#This Row],[Inflows]])</f>
        <v>-4.5751620660171793E-4</v>
      </c>
      <c r="AU24" s="2">
        <f t="shared" si="3"/>
        <v>294128.17</v>
      </c>
      <c r="AV24" s="18">
        <f ca="1">IF(Table134111213[[#This Row],[Day]]=1,100,AV23*(1+Table134111213[[#This Row],[Return]]))</f>
        <v>103.43119823264354</v>
      </c>
      <c r="AW24" s="3">
        <f ca="1">EXP(-((30-Table134111213[[#This Row],[Day]])/30))</f>
        <v>0.53081945056201396</v>
      </c>
      <c r="AX24" s="5"/>
      <c r="AY24" s="5">
        <f ca="1">IF(Table134111213[[#This Row],[Day]]&lt;=7,"",MIN(IF(AV24&lt;MAX(AV17:AV23),AV24/MAX(AV17:AV23)-1,-1%),-1%))</f>
        <v>-0.01</v>
      </c>
      <c r="AZ24" s="19"/>
      <c r="BB24" s="4">
        <f t="shared" ca="1" si="17"/>
        <v>45569</v>
      </c>
      <c r="BC24">
        <f t="shared" ca="1" si="9"/>
        <v>11</v>
      </c>
      <c r="BD24" s="1">
        <v>6969302.0499999998</v>
      </c>
      <c r="BE24" s="6">
        <v>6601.21</v>
      </c>
      <c r="BF24" s="1">
        <v>0</v>
      </c>
      <c r="BG24" s="5">
        <f>Table13411121314[[#This Row],[$Return]]/AVERAGE(Table13411121314[[#This Row],[Starting]],Table13411121314[[#This Row],[Starting]]+Table13411121314[[#This Row],[Inflows]])</f>
        <v>9.4718380013390292E-4</v>
      </c>
      <c r="BH24" s="2">
        <f t="shared" si="4"/>
        <v>6975903.2599999998</v>
      </c>
      <c r="BI24" s="18">
        <f ca="1">IF(Table13411121314[[#This Row],[Day]]=1,100,BI23*(1+Table13411121314[[#This Row],[Return]]))</f>
        <v>100.54118587288696</v>
      </c>
      <c r="BJ24" s="3">
        <f ca="1">EXP(-((30-Table13411121314[[#This Row],[Day]])/30))</f>
        <v>0.53081945056201396</v>
      </c>
      <c r="BK24" s="5"/>
      <c r="BL24" s="5">
        <f ca="1">IF(Table13411121314[[#This Row],[Day]]&lt;=7,"",MIN(IF(BI24&lt;MAX(BI17:BI23),BI24/MAX(BI17:BI23)-1,0.5%),-1%))</f>
        <v>-0.01</v>
      </c>
      <c r="BM24" s="19"/>
    </row>
    <row r="25" spans="2:65" x14ac:dyDescent="0.45">
      <c r="B25" s="4">
        <f t="shared" ca="1" si="10"/>
        <v>45570</v>
      </c>
      <c r="C25">
        <f t="shared" ca="1" si="5"/>
        <v>12</v>
      </c>
      <c r="D25" s="1">
        <f t="shared" si="11"/>
        <v>107535</v>
      </c>
      <c r="E25" s="6">
        <v>-3928</v>
      </c>
      <c r="F25" s="1">
        <v>123</v>
      </c>
      <c r="G25" s="5">
        <f>Table1310[[#This Row],[$Return]]/AVERAGE(Table1310[[#This Row],[Starting]],Table1310[[#This Row],[Starting]]+Table1310[[#This Row],[Inflows]])</f>
        <v>-3.6506763695845122E-2</v>
      </c>
      <c r="H25" s="2">
        <f t="shared" si="0"/>
        <v>103730</v>
      </c>
      <c r="I25" s="18">
        <f ca="1">IF(Table1310[[#This Row],[Day]]=1,100,I24*(1+Table1310[[#This Row],[Return]]))</f>
        <v>99.129642480931551</v>
      </c>
      <c r="J25" s="3">
        <f ca="1">EXP(-((30-Table1310[[#This Row],[Day]])/30))</f>
        <v>0.5488116360940265</v>
      </c>
      <c r="K25" s="5"/>
      <c r="L25" s="5">
        <f ca="1">IF(Table1310[[#This Row],[Day]]&lt;=7,"",MIN(IF(I25&lt;MAX(I18:I24),I25/MAX(I18:I24)-1,-1%),-1%))</f>
        <v>-6.565310345485742E-2</v>
      </c>
      <c r="M25" s="19"/>
      <c r="O25" s="4">
        <f t="shared" ca="1" si="12"/>
        <v>45570</v>
      </c>
      <c r="P25">
        <f t="shared" ca="1" si="6"/>
        <v>12</v>
      </c>
      <c r="Q25" s="1">
        <f t="shared" si="13"/>
        <v>99257</v>
      </c>
      <c r="R25" s="6">
        <v>-937</v>
      </c>
      <c r="S25" s="1">
        <v>0</v>
      </c>
      <c r="T25" s="5">
        <f>Table13411[[#This Row],[$Return]]/AVERAGE(Table13411[[#This Row],[Starting]],Table13411[[#This Row],[Starting]]+Table13411[[#This Row],[Inflows]])</f>
        <v>-9.4401402419980462E-3</v>
      </c>
      <c r="U25" s="2">
        <f t="shared" si="1"/>
        <v>98320</v>
      </c>
      <c r="V25" s="18">
        <f ca="1">IF(Table13411[[#This Row],[Day]]=1,100,V24*(1+Table13411[[#This Row],[Return]]))</f>
        <v>98.568392348718774</v>
      </c>
      <c r="W25" s="3">
        <f ca="1">EXP(-((30-Table13411[[#This Row],[Day]])/30))</f>
        <v>0.5488116360940265</v>
      </c>
      <c r="X25" s="5"/>
      <c r="Y25" s="5">
        <f ca="1">IF(Table13411[[#This Row],[Day]]&lt;=7,"",MIN(IF(V25&lt;MAX(V18:V24),V25/MAX(V18:V24)-1,-1%),-1%))</f>
        <v>-2.002412064308412E-2</v>
      </c>
      <c r="Z25" s="19"/>
      <c r="AB25" s="4">
        <f t="shared" ca="1" si="14"/>
        <v>45570</v>
      </c>
      <c r="AC25">
        <f t="shared" ca="1" si="7"/>
        <v>12</v>
      </c>
      <c r="AD25" s="1">
        <f t="shared" si="15"/>
        <v>227000</v>
      </c>
      <c r="AE25" s="6">
        <v>-25000</v>
      </c>
      <c r="AF25" s="1">
        <v>0</v>
      </c>
      <c r="AG25" s="5">
        <f>Table1341112[[#This Row],[$Return]]/AVERAGE(Table1341112[[#This Row],[Starting]],Table1341112[[#This Row],[Starting]]+Table1341112[[#This Row],[Inflows]])</f>
        <v>-0.11013215859030837</v>
      </c>
      <c r="AH25" s="2">
        <f t="shared" si="2"/>
        <v>202000</v>
      </c>
      <c r="AI25" s="18">
        <f ca="1">IF(Table1341112[[#This Row],[Day]]=1,100,AI24*(1+Table1341112[[#This Row],[Return]]))</f>
        <v>155.38461538461539</v>
      </c>
      <c r="AJ25" s="3">
        <f ca="1">EXP(-((30-Table1341112[[#This Row],[Day]])/30))</f>
        <v>0.5488116360940265</v>
      </c>
      <c r="AK25" s="5"/>
      <c r="AL25" s="5">
        <f ca="1">IF(Table1341112[[#This Row],[Day]]&lt;=7,"",MIN(IF(AI25&lt;MAX(AI18:AI24),AI25/MAX(AI18:AI24)-1,-1%),-1%))</f>
        <v>-0.11013215859030834</v>
      </c>
      <c r="AM25" s="19"/>
      <c r="AO25" s="4">
        <f t="shared" ca="1" si="16"/>
        <v>45570</v>
      </c>
      <c r="AP25">
        <f t="shared" ca="1" si="8"/>
        <v>12</v>
      </c>
      <c r="AQ25" s="1">
        <v>293740.28999999998</v>
      </c>
      <c r="AR25" s="6">
        <v>-522.5</v>
      </c>
      <c r="AS25" s="1">
        <v>100000</v>
      </c>
      <c r="AT25" s="5">
        <f>Table134111213[[#This Row],[$Return]]/AVERAGE(Table134111213[[#This Row],[Starting]],Table134111213[[#This Row],[Starting]]+Table134111213[[#This Row],[Inflows]])</f>
        <v>-1.5200429370674005E-3</v>
      </c>
      <c r="AU25" s="2">
        <f t="shared" si="3"/>
        <v>393217.79</v>
      </c>
      <c r="AV25" s="18">
        <f ca="1">IF(Table134111213[[#This Row],[Day]]=1,100,AV24*(1+Table134111213[[#This Row],[Return]]))</f>
        <v>103.27397837029758</v>
      </c>
      <c r="AW25" s="3">
        <f ca="1">EXP(-((30-Table134111213[[#This Row],[Day]])/30))</f>
        <v>0.5488116360940265</v>
      </c>
      <c r="AX25" s="5"/>
      <c r="AY25" s="5">
        <f ca="1">IF(Table134111213[[#This Row],[Day]]&lt;=7,"",MIN(IF(AV25&lt;MAX(AV18:AV24),AV25/MAX(AV18:AV24)-1,-1%),-1%))</f>
        <v>-0.01</v>
      </c>
      <c r="AZ25" s="19"/>
      <c r="BB25" s="4">
        <f t="shared" ca="1" si="17"/>
        <v>45570</v>
      </c>
      <c r="BC25">
        <f t="shared" ca="1" si="9"/>
        <v>12</v>
      </c>
      <c r="BD25" s="1">
        <v>6971264.1600000001</v>
      </c>
      <c r="BE25" s="6">
        <v>1962.11</v>
      </c>
      <c r="BF25" s="1">
        <v>-1500000</v>
      </c>
      <c r="BG25" s="5">
        <f>Table13411121314[[#This Row],[$Return]]/AVERAGE(Table13411121314[[#This Row],[Starting]],Table13411121314[[#This Row],[Starting]]+Table13411121314[[#This Row],[Inflows]])</f>
        <v>3.1538766873387349E-4</v>
      </c>
      <c r="BH25" s="2">
        <f t="shared" si="4"/>
        <v>5473226.2700000005</v>
      </c>
      <c r="BI25" s="18">
        <f ca="1">IF(Table13411121314[[#This Row],[Day]]=1,100,BI24*(1+Table13411121314[[#This Row],[Return]]))</f>
        <v>100.57289532311114</v>
      </c>
      <c r="BJ25" s="3">
        <f ca="1">EXP(-((30-Table13411121314[[#This Row],[Day]])/30))</f>
        <v>0.5488116360940265</v>
      </c>
      <c r="BK25" s="5"/>
      <c r="BL25" s="5">
        <f ca="1">IF(Table13411121314[[#This Row],[Day]]&lt;=7,"",MIN(IF(BI25&lt;MAX(BI18:BI24),BI25/MAX(BI18:BI24)-1,0.5%),-1%))</f>
        <v>-0.01</v>
      </c>
      <c r="BM25" s="19"/>
    </row>
    <row r="26" spans="2:65" x14ac:dyDescent="0.45">
      <c r="B26" s="4">
        <f t="shared" ca="1" si="10"/>
        <v>45571</v>
      </c>
      <c r="C26">
        <f t="shared" ca="1" si="5"/>
        <v>13</v>
      </c>
      <c r="D26" s="1">
        <f t="shared" si="11"/>
        <v>103730</v>
      </c>
      <c r="E26" s="6">
        <v>-3149</v>
      </c>
      <c r="F26" s="1">
        <v>32</v>
      </c>
      <c r="G26" s="5">
        <f>Table1310[[#This Row],[$Return]]/AVERAGE(Table1310[[#This Row],[Starting]],Table1310[[#This Row],[Starting]]+Table1310[[#This Row],[Inflows]])</f>
        <v>-3.035297746419139E-2</v>
      </c>
      <c r="H26" s="2">
        <f t="shared" si="0"/>
        <v>100613</v>
      </c>
      <c r="I26" s="18">
        <f ca="1">IF(Table1310[[#This Row],[Day]]=1,100,I25*(1+Table1310[[#This Row],[Return]]))</f>
        <v>96.120762676674488</v>
      </c>
      <c r="J26" s="3">
        <f ca="1">EXP(-((30-Table1310[[#This Row],[Day]])/30))</f>
        <v>0.56741366879700383</v>
      </c>
      <c r="K26" s="5"/>
      <c r="L26" s="5">
        <f ca="1">IF(Table1310[[#This Row],[Day]]&lt;=7,"",MIN(IF(I26&lt;MAX(I19:I25),I26/MAX(I19:I25)-1,-1%),-1%))</f>
        <v>-8.7074138324380601E-2</v>
      </c>
      <c r="M26" s="19"/>
      <c r="O26" s="4">
        <f t="shared" ca="1" si="12"/>
        <v>45571</v>
      </c>
      <c r="P26">
        <f t="shared" ca="1" si="6"/>
        <v>13</v>
      </c>
      <c r="Q26" s="1">
        <f t="shared" si="13"/>
        <v>98320</v>
      </c>
      <c r="R26" s="6">
        <v>931</v>
      </c>
      <c r="S26" s="1">
        <v>0</v>
      </c>
      <c r="T26" s="5">
        <f>Table13411[[#This Row],[$Return]]/AVERAGE(Table13411[[#This Row],[Starting]],Table13411[[#This Row],[Starting]]+Table13411[[#This Row],[Inflows]])</f>
        <v>9.4690805532953622E-3</v>
      </c>
      <c r="U26" s="2">
        <f t="shared" si="1"/>
        <v>99251</v>
      </c>
      <c r="V26" s="18">
        <f ca="1">IF(Table13411[[#This Row],[Day]]=1,100,V25*(1+Table13411[[#This Row],[Return]]))</f>
        <v>99.501744395877608</v>
      </c>
      <c r="W26" s="3">
        <f ca="1">EXP(-((30-Table13411[[#This Row],[Day]])/30))</f>
        <v>0.56741366879700383</v>
      </c>
      <c r="X26" s="5"/>
      <c r="Y26" s="5">
        <f ca="1">IF(Table13411[[#This Row],[Day]]&lt;=7,"",MIN(IF(V26&lt;MAX(V19:V25),V26/MAX(V19:V25)-1,-1%),-1%))</f>
        <v>-0.01</v>
      </c>
      <c r="Z26" s="19"/>
      <c r="AB26" s="4">
        <f t="shared" ca="1" si="14"/>
        <v>45571</v>
      </c>
      <c r="AC26">
        <f t="shared" ca="1" si="7"/>
        <v>13</v>
      </c>
      <c r="AD26" s="1">
        <f t="shared" si="15"/>
        <v>202000</v>
      </c>
      <c r="AE26" s="6">
        <v>32000</v>
      </c>
      <c r="AF26" s="1">
        <v>0</v>
      </c>
      <c r="AG26" s="5">
        <f>Table1341112[[#This Row],[$Return]]/AVERAGE(Table1341112[[#This Row],[Starting]],Table1341112[[#This Row],[Starting]]+Table1341112[[#This Row],[Inflows]])</f>
        <v>0.15841584158415842</v>
      </c>
      <c r="AH26" s="2">
        <f t="shared" si="2"/>
        <v>234000</v>
      </c>
      <c r="AI26" s="18">
        <f ca="1">IF(Table1341112[[#This Row],[Day]]=1,100,AI25*(1+Table1341112[[#This Row],[Return]]))</f>
        <v>180</v>
      </c>
      <c r="AJ26" s="3">
        <f ca="1">EXP(-((30-Table1341112[[#This Row],[Day]])/30))</f>
        <v>0.56741366879700383</v>
      </c>
      <c r="AK26" s="5"/>
      <c r="AL26" s="5">
        <f ca="1">IF(Table1341112[[#This Row],[Day]]&lt;=7,"",MIN(IF(AI26&lt;MAX(AI19:AI25),AI26/MAX(AI19:AI25)-1,-1%),-1%))</f>
        <v>-0.01</v>
      </c>
      <c r="AM26" s="19"/>
      <c r="AO26" s="4">
        <f t="shared" ca="1" si="16"/>
        <v>45571</v>
      </c>
      <c r="AP26">
        <f t="shared" ca="1" si="8"/>
        <v>13</v>
      </c>
      <c r="AQ26" s="1">
        <v>392886.9</v>
      </c>
      <c r="AR26" s="6">
        <v>-853.39</v>
      </c>
      <c r="AS26" s="1">
        <v>0</v>
      </c>
      <c r="AT26" s="5">
        <f>Table134111213[[#This Row],[$Return]]/AVERAGE(Table134111213[[#This Row],[Starting]],Table134111213[[#This Row],[Starting]]+Table134111213[[#This Row],[Inflows]])</f>
        <v>-2.1721009277733618E-3</v>
      </c>
      <c r="AU26" s="2">
        <f t="shared" si="3"/>
        <v>392033.51</v>
      </c>
      <c r="AV26" s="18">
        <f ca="1">IF(Table134111213[[#This Row],[Day]]=1,100,AV25*(1+Table134111213[[#This Row],[Return]]))</f>
        <v>103.04965686606462</v>
      </c>
      <c r="AW26" s="3">
        <f ca="1">EXP(-((30-Table134111213[[#This Row],[Day]])/30))</f>
        <v>0.56741366879700383</v>
      </c>
      <c r="AX26" s="5"/>
      <c r="AY26" s="5">
        <f ca="1">IF(Table134111213[[#This Row],[Day]]&lt;=7,"",MIN(IF(AV26&lt;MAX(AV19:AV25),AV26/MAX(AV19:AV25)-1,-1%),-1%))</f>
        <v>-0.01</v>
      </c>
      <c r="AZ26" s="19"/>
      <c r="BB26" s="4">
        <f t="shared" ca="1" si="17"/>
        <v>45571</v>
      </c>
      <c r="BC26">
        <f t="shared" ca="1" si="9"/>
        <v>13</v>
      </c>
      <c r="BD26" s="1">
        <v>5483106.9699999997</v>
      </c>
      <c r="BE26" s="6">
        <v>11842.81</v>
      </c>
      <c r="BF26" s="1">
        <v>1500000</v>
      </c>
      <c r="BG26" s="5">
        <f>Table13411121314[[#This Row],[$Return]]/AVERAGE(Table13411121314[[#This Row],[Starting]],Table13411121314[[#This Row],[Starting]]+Table13411121314[[#This Row],[Inflows]])</f>
        <v>1.8999850406866995E-3</v>
      </c>
      <c r="BH26" s="2">
        <f t="shared" si="4"/>
        <v>6994949.7799999993</v>
      </c>
      <c r="BI26" s="18">
        <f ca="1">IF(Table13411121314[[#This Row],[Day]]=1,100,BI25*(1+Table13411121314[[#This Row],[Return]]))</f>
        <v>100.7639823197236</v>
      </c>
      <c r="BJ26" s="3">
        <f ca="1">EXP(-((30-Table13411121314[[#This Row],[Day]])/30))</f>
        <v>0.56741366879700383</v>
      </c>
      <c r="BK26" s="5"/>
      <c r="BL26" s="5">
        <f ca="1">IF(Table13411121314[[#This Row],[Day]]&lt;=7,"",MIN(IF(BI26&lt;MAX(BI19:BI25),BI26/MAX(BI19:BI25)-1,0.5%),-1%))</f>
        <v>-0.01</v>
      </c>
      <c r="BM26" s="19"/>
    </row>
    <row r="27" spans="2:65" x14ac:dyDescent="0.45">
      <c r="B27" s="4">
        <f t="shared" ca="1" si="10"/>
        <v>45572</v>
      </c>
      <c r="C27">
        <f t="shared" ca="1" si="5"/>
        <v>14</v>
      </c>
      <c r="D27" s="1">
        <f t="shared" si="11"/>
        <v>100613</v>
      </c>
      <c r="E27" s="6">
        <v>-1674</v>
      </c>
      <c r="F27" s="1">
        <v>570</v>
      </c>
      <c r="G27" s="5">
        <f>Table1310[[#This Row],[$Return]]/AVERAGE(Table1310[[#This Row],[Starting]],Table1310[[#This Row],[Starting]]+Table1310[[#This Row],[Inflows]])</f>
        <v>-1.659101270590101E-2</v>
      </c>
      <c r="H27" s="2">
        <f t="shared" si="0"/>
        <v>99509</v>
      </c>
      <c r="I27" s="18">
        <f ca="1">IF(Table1310[[#This Row],[Day]]=1,100,I26*(1+Table1310[[#This Row],[Return]]))</f>
        <v>94.52602188180488</v>
      </c>
      <c r="J27" s="3">
        <f ca="1">EXP(-((30-Table1310[[#This Row],[Day]])/30))</f>
        <v>0.58664621951003182</v>
      </c>
      <c r="K27" s="5"/>
      <c r="L27" s="5">
        <f ca="1">IF(Table1310[[#This Row],[Day]]&lt;=7,"",MIN(IF(I27&lt;MAX(I20:I26),I27/MAX(I20:I26)-1,-1%),-1%))</f>
        <v>-0.10222050289498652</v>
      </c>
      <c r="M27" s="19"/>
      <c r="O27" s="4">
        <f t="shared" ca="1" si="12"/>
        <v>45572</v>
      </c>
      <c r="P27">
        <f t="shared" ca="1" si="6"/>
        <v>14</v>
      </c>
      <c r="Q27" s="1">
        <f t="shared" si="13"/>
        <v>99251</v>
      </c>
      <c r="R27" s="6">
        <v>421</v>
      </c>
      <c r="S27" s="1">
        <v>0</v>
      </c>
      <c r="T27" s="5">
        <f>Table13411[[#This Row],[$Return]]/AVERAGE(Table13411[[#This Row],[Starting]],Table13411[[#This Row],[Starting]]+Table13411[[#This Row],[Inflows]])</f>
        <v>4.2417708637696346E-3</v>
      </c>
      <c r="U27" s="2">
        <f t="shared" si="1"/>
        <v>99672</v>
      </c>
      <c r="V27" s="18">
        <f ca="1">IF(Table13411[[#This Row],[Day]]=1,100,V26*(1+Table13411[[#This Row],[Return]]))</f>
        <v>99.923807996150302</v>
      </c>
      <c r="W27" s="3">
        <f ca="1">EXP(-((30-Table13411[[#This Row],[Day]])/30))</f>
        <v>0.58664621951003182</v>
      </c>
      <c r="X27" s="5"/>
      <c r="Y27" s="5">
        <f ca="1">IF(Table13411[[#This Row],[Day]]&lt;=7,"",MIN(IF(V27&lt;MAX(V20:V26),V27/MAX(V20:V26)-1,-1%),-1%))</f>
        <v>-0.01</v>
      </c>
      <c r="Z27" s="19"/>
      <c r="AB27" s="4">
        <f t="shared" ca="1" si="14"/>
        <v>45572</v>
      </c>
      <c r="AC27">
        <f t="shared" ca="1" si="7"/>
        <v>14</v>
      </c>
      <c r="AD27" s="1">
        <f t="shared" si="15"/>
        <v>234000</v>
      </c>
      <c r="AE27" s="6">
        <v>-31000</v>
      </c>
      <c r="AF27" s="1">
        <v>0</v>
      </c>
      <c r="AG27" s="5">
        <f>Table1341112[[#This Row],[$Return]]/AVERAGE(Table1341112[[#This Row],[Starting]],Table1341112[[#This Row],[Starting]]+Table1341112[[#This Row],[Inflows]])</f>
        <v>-0.13247863247863248</v>
      </c>
      <c r="AH27" s="2">
        <f t="shared" si="2"/>
        <v>203000</v>
      </c>
      <c r="AI27" s="18">
        <f ca="1">IF(Table1341112[[#This Row],[Day]]=1,100,AI26*(1+Table1341112[[#This Row],[Return]]))</f>
        <v>156.15384615384616</v>
      </c>
      <c r="AJ27" s="3">
        <f ca="1">EXP(-((30-Table1341112[[#This Row],[Day]])/30))</f>
        <v>0.58664621951003182</v>
      </c>
      <c r="AK27" s="5"/>
      <c r="AL27" s="5">
        <f ca="1">IF(Table1341112[[#This Row],[Day]]&lt;=7,"",MIN(IF(AI27&lt;MAX(AI20:AI26),AI27/MAX(AI20:AI26)-1,-1%),-1%))</f>
        <v>-0.13247863247863245</v>
      </c>
      <c r="AM27" s="19"/>
      <c r="AO27" s="4">
        <f t="shared" ca="1" si="16"/>
        <v>45572</v>
      </c>
      <c r="AP27">
        <f t="shared" ca="1" si="8"/>
        <v>14</v>
      </c>
      <c r="AQ27" s="1">
        <v>393118.41</v>
      </c>
      <c r="AR27" s="6">
        <v>231.51</v>
      </c>
      <c r="AS27" s="1">
        <v>0</v>
      </c>
      <c r="AT27" s="5">
        <f>Table134111213[[#This Row],[$Return]]/AVERAGE(Table134111213[[#This Row],[Starting]],Table134111213[[#This Row],[Starting]]+Table134111213[[#This Row],[Inflows]])</f>
        <v>5.8890653327581374E-4</v>
      </c>
      <c r="AU27" s="2">
        <f t="shared" si="3"/>
        <v>393349.92</v>
      </c>
      <c r="AV27" s="18">
        <f ca="1">IF(Table134111213[[#This Row],[Day]]=1,100,AV26*(1+Table134111213[[#This Row],[Return]]))</f>
        <v>103.11034348224489</v>
      </c>
      <c r="AW27" s="3">
        <f ca="1">EXP(-((30-Table134111213[[#This Row],[Day]])/30))</f>
        <v>0.58664621951003182</v>
      </c>
      <c r="AX27" s="5"/>
      <c r="AY27" s="5">
        <f ca="1">IF(Table134111213[[#This Row],[Day]]&lt;=7,"",MIN(IF(AV27&lt;MAX(AV20:AV26),AV27/MAX(AV20:AV26)-1,-1%),-1%))</f>
        <v>-0.01</v>
      </c>
      <c r="AZ27" s="19"/>
      <c r="BB27" s="4">
        <f t="shared" ca="1" si="17"/>
        <v>45572</v>
      </c>
      <c r="BC27">
        <f t="shared" ca="1" si="9"/>
        <v>14</v>
      </c>
      <c r="BD27" s="1">
        <v>6993716.2000000002</v>
      </c>
      <c r="BE27" s="6">
        <v>10609.23</v>
      </c>
      <c r="BF27" s="1">
        <v>0</v>
      </c>
      <c r="BG27" s="5">
        <f>Table13411121314[[#This Row],[$Return]]/AVERAGE(Table13411121314[[#This Row],[Starting]],Table13411121314[[#This Row],[Starting]]+Table13411121314[[#This Row],[Inflows]])</f>
        <v>1.5169660444614552E-3</v>
      </c>
      <c r="BH27" s="2">
        <f t="shared" si="4"/>
        <v>7004325.4300000006</v>
      </c>
      <c r="BI27" s="18">
        <f ca="1">IF(Table13411121314[[#This Row],[Day]]=1,100,BI26*(1+Table13411121314[[#This Row],[Return]]))</f>
        <v>100.91683785940732</v>
      </c>
      <c r="BJ27" s="3">
        <f ca="1">EXP(-((30-Table13411121314[[#This Row],[Day]])/30))</f>
        <v>0.58664621951003182</v>
      </c>
      <c r="BK27" s="5"/>
      <c r="BL27" s="5">
        <f ca="1">IF(Table13411121314[[#This Row],[Day]]&lt;=7,"",MIN(IF(BI27&lt;MAX(BI20:BI26),BI27/MAX(BI20:BI26)-1,0.5%),-1%))</f>
        <v>-0.01</v>
      </c>
      <c r="BM27" s="19"/>
    </row>
    <row r="28" spans="2:65" x14ac:dyDescent="0.45">
      <c r="B28" s="4">
        <f t="shared" ca="1" si="10"/>
        <v>45573</v>
      </c>
      <c r="C28">
        <f t="shared" ca="1" si="5"/>
        <v>15</v>
      </c>
      <c r="D28" s="1">
        <f t="shared" si="11"/>
        <v>99509</v>
      </c>
      <c r="E28" s="6">
        <v>-4667</v>
      </c>
      <c r="F28" s="1">
        <v>550</v>
      </c>
      <c r="G28" s="5">
        <f>Table1310[[#This Row],[$Return]]/AVERAGE(Table1310[[#This Row],[Starting]],Table1310[[#This Row],[Starting]]+Table1310[[#This Row],[Inflows]])</f>
        <v>-4.6771025414896174E-2</v>
      </c>
      <c r="H28" s="2">
        <f t="shared" si="0"/>
        <v>95392</v>
      </c>
      <c r="I28" s="18">
        <f ca="1">IF(Table1310[[#This Row],[Day]]=1,100,I27*(1+Table1310[[#This Row],[Return]]))</f>
        <v>90.104942910001952</v>
      </c>
      <c r="J28" s="3">
        <f ca="1">EXP(-((30-Table1310[[#This Row],[Day]])/30))</f>
        <v>0.60653065971263342</v>
      </c>
      <c r="K28" s="5"/>
      <c r="L28" s="5">
        <f ca="1">IF(Table1310[[#This Row],[Day]]&lt;=7,"",MIN(IF(I28&lt;MAX(I21:I27),I28/MAX(I21:I27)-1,-1%),-1%))</f>
        <v>-0.14421057057105779</v>
      </c>
      <c r="M28" s="19"/>
      <c r="O28" s="4">
        <f t="shared" ca="1" si="12"/>
        <v>45573</v>
      </c>
      <c r="P28">
        <f t="shared" ca="1" si="6"/>
        <v>15</v>
      </c>
      <c r="Q28" s="1">
        <f t="shared" si="13"/>
        <v>99672</v>
      </c>
      <c r="R28" s="6">
        <v>805</v>
      </c>
      <c r="S28" s="1">
        <v>0</v>
      </c>
      <c r="T28" s="5">
        <f>Table13411[[#This Row],[$Return]]/AVERAGE(Table13411[[#This Row],[Starting]],Table13411[[#This Row],[Starting]]+Table13411[[#This Row],[Inflows]])</f>
        <v>8.076490890119593E-3</v>
      </c>
      <c r="U28" s="2">
        <f t="shared" si="1"/>
        <v>100477</v>
      </c>
      <c r="V28" s="18">
        <f ca="1">IF(Table13411[[#This Row],[Day]]=1,100,V27*(1+Table13411[[#This Row],[Return]]))</f>
        <v>100.73084172113727</v>
      </c>
      <c r="W28" s="3">
        <f ca="1">EXP(-((30-Table13411[[#This Row],[Day]])/30))</f>
        <v>0.60653065971263342</v>
      </c>
      <c r="X28" s="5"/>
      <c r="Y28" s="5">
        <f ca="1">IF(Table13411[[#This Row],[Day]]&lt;=7,"",MIN(IF(V28&lt;MAX(V21:V27),V28/MAX(V21:V27)-1,-1%),-1%))</f>
        <v>-0.01</v>
      </c>
      <c r="Z28" s="19"/>
      <c r="AB28" s="4">
        <f t="shared" ca="1" si="14"/>
        <v>45573</v>
      </c>
      <c r="AC28">
        <f t="shared" ca="1" si="7"/>
        <v>15</v>
      </c>
      <c r="AD28" s="1">
        <f t="shared" si="15"/>
        <v>203000</v>
      </c>
      <c r="AE28" s="6">
        <v>36000</v>
      </c>
      <c r="AF28" s="1">
        <v>0</v>
      </c>
      <c r="AG28" s="5">
        <f>Table1341112[[#This Row],[$Return]]/AVERAGE(Table1341112[[#This Row],[Starting]],Table1341112[[#This Row],[Starting]]+Table1341112[[#This Row],[Inflows]])</f>
        <v>0.17733990147783252</v>
      </c>
      <c r="AH28" s="2">
        <f t="shared" si="2"/>
        <v>239000</v>
      </c>
      <c r="AI28" s="18">
        <f ca="1">IF(Table1341112[[#This Row],[Day]]=1,100,AI27*(1+Table1341112[[#This Row],[Return]]))</f>
        <v>183.84615384615387</v>
      </c>
      <c r="AJ28" s="3">
        <f ca="1">EXP(-((30-Table1341112[[#This Row],[Day]])/30))</f>
        <v>0.60653065971263342</v>
      </c>
      <c r="AK28" s="5"/>
      <c r="AL28" s="5">
        <f ca="1">IF(Table1341112[[#This Row],[Day]]&lt;=7,"",MIN(IF(AI28&lt;MAX(AI21:AI27),AI28/MAX(AI21:AI27)-1,-1%),-1%))</f>
        <v>-0.01</v>
      </c>
      <c r="AM28" s="19"/>
      <c r="AO28" s="4">
        <f t="shared" ca="1" si="16"/>
        <v>45573</v>
      </c>
      <c r="AP28">
        <f t="shared" ca="1" si="8"/>
        <v>15</v>
      </c>
      <c r="AQ28" s="1">
        <v>393312.71</v>
      </c>
      <c r="AR28" s="6">
        <v>194.29</v>
      </c>
      <c r="AS28" s="1">
        <v>0</v>
      </c>
      <c r="AT28" s="5">
        <f>Table134111213[[#This Row],[$Return]]/AVERAGE(Table134111213[[#This Row],[Starting]],Table134111213[[#This Row],[Starting]]+Table134111213[[#This Row],[Inflows]])</f>
        <v>4.939835277634429E-4</v>
      </c>
      <c r="AU28" s="2">
        <f t="shared" si="3"/>
        <v>393507</v>
      </c>
      <c r="AV28" s="18">
        <f ca="1">IF(Table134111213[[#This Row],[Day]]=1,100,AV27*(1+Table134111213[[#This Row],[Return]]))</f>
        <v>103.16127829346715</v>
      </c>
      <c r="AW28" s="3">
        <f ca="1">EXP(-((30-Table134111213[[#This Row],[Day]])/30))</f>
        <v>0.60653065971263342</v>
      </c>
      <c r="AX28" s="5"/>
      <c r="AY28" s="5">
        <f ca="1">IF(Table134111213[[#This Row],[Day]]&lt;=7,"",MIN(IF(AV28&lt;MAX(AV21:AV27),AV28/MAX(AV21:AV27)-1,-1%),-1%))</f>
        <v>-0.01</v>
      </c>
      <c r="AZ28" s="19"/>
      <c r="BB28" s="4">
        <f t="shared" ca="1" si="17"/>
        <v>45573</v>
      </c>
      <c r="BC28">
        <f t="shared" ca="1" si="9"/>
        <v>15</v>
      </c>
      <c r="BD28" s="1">
        <v>7002350.2699999996</v>
      </c>
      <c r="BE28" s="6">
        <v>8634.07</v>
      </c>
      <c r="BF28" s="1">
        <v>-1500000</v>
      </c>
      <c r="BG28" s="5">
        <f>Table13411121314[[#This Row],[$Return]]/AVERAGE(Table13411121314[[#This Row],[Starting]],Table13411121314[[#This Row],[Starting]]+Table13411121314[[#This Row],[Inflows]])</f>
        <v>1.3809319099456019E-3</v>
      </c>
      <c r="BH28" s="2">
        <f t="shared" si="4"/>
        <v>5510984.3399999999</v>
      </c>
      <c r="BI28" s="18">
        <f ca="1">IF(Table13411121314[[#This Row],[Day]]=1,100,BI27*(1+Table13411121314[[#This Row],[Return]]))</f>
        <v>101.05619714105818</v>
      </c>
      <c r="BJ28" s="3">
        <f ca="1">EXP(-((30-Table13411121314[[#This Row],[Day]])/30))</f>
        <v>0.60653065971263342</v>
      </c>
      <c r="BK28" s="5"/>
      <c r="BL28" s="5">
        <f ca="1">IF(Table13411121314[[#This Row],[Day]]&lt;=7,"",MIN(IF(BI28&lt;MAX(BI21:BI27),BI28/MAX(BI21:BI27)-1,0.5%),-1%))</f>
        <v>-0.01</v>
      </c>
      <c r="BM28" s="19"/>
    </row>
    <row r="29" spans="2:65" x14ac:dyDescent="0.45">
      <c r="B29" s="4">
        <f t="shared" ca="1" si="10"/>
        <v>45574</v>
      </c>
      <c r="C29">
        <f t="shared" ca="1" si="5"/>
        <v>16</v>
      </c>
      <c r="D29" s="1">
        <f t="shared" si="11"/>
        <v>95392</v>
      </c>
      <c r="E29" s="6">
        <v>-1271</v>
      </c>
      <c r="F29" s="1">
        <v>382</v>
      </c>
      <c r="G29" s="5">
        <f>Table1310[[#This Row],[$Return]]/AVERAGE(Table1310[[#This Row],[Starting]],Table1310[[#This Row],[Starting]]+Table1310[[#This Row],[Inflows]])</f>
        <v>-1.3297343669899458E-2</v>
      </c>
      <c r="H29" s="2">
        <f t="shared" si="0"/>
        <v>94503</v>
      </c>
      <c r="I29" s="18">
        <f ca="1">IF(Table1310[[#This Row],[Day]]=1,100,I28*(1+Table1310[[#This Row],[Return]]))</f>
        <v>88.906786517770982</v>
      </c>
      <c r="J29" s="3">
        <f ca="1">EXP(-((30-Table1310[[#This Row],[Day]])/30))</f>
        <v>0.62708908527305607</v>
      </c>
      <c r="K29" s="5"/>
      <c r="L29" s="5">
        <f ca="1">IF(Table1310[[#This Row],[Day]]&lt;=7,"",MIN(IF(I29&lt;MAX(I22:I28),I29/MAX(I22:I28)-1,-1%),-1%))</f>
        <v>-0.15559029672324165</v>
      </c>
      <c r="M29" s="19"/>
      <c r="O29" s="4">
        <f t="shared" ca="1" si="12"/>
        <v>45574</v>
      </c>
      <c r="P29">
        <f t="shared" ca="1" si="6"/>
        <v>16</v>
      </c>
      <c r="Q29" s="1">
        <f t="shared" si="13"/>
        <v>100477</v>
      </c>
      <c r="R29" s="6">
        <v>330</v>
      </c>
      <c r="S29" s="1">
        <v>0</v>
      </c>
      <c r="T29" s="5">
        <f>Table13411[[#This Row],[$Return]]/AVERAGE(Table13411[[#This Row],[Starting]],Table13411[[#This Row],[Starting]]+Table13411[[#This Row],[Inflows]])</f>
        <v>3.2843337281168823E-3</v>
      </c>
      <c r="U29" s="2">
        <f t="shared" si="1"/>
        <v>100807</v>
      </c>
      <c r="V29" s="18">
        <f ca="1">IF(Table13411[[#This Row],[Day]]=1,100,V28*(1+Table13411[[#This Row],[Return]]))</f>
        <v>101.06167542206362</v>
      </c>
      <c r="W29" s="3">
        <f ca="1">EXP(-((30-Table13411[[#This Row],[Day]])/30))</f>
        <v>0.62708908527305607</v>
      </c>
      <c r="X29" s="5"/>
      <c r="Y29" s="5">
        <f ca="1">IF(Table13411[[#This Row],[Day]]&lt;=7,"",MIN(IF(V29&lt;MAX(V22:V28),V29/MAX(V22:V28)-1,-1%),-1%))</f>
        <v>-0.01</v>
      </c>
      <c r="Z29" s="19"/>
      <c r="AB29" s="4">
        <f t="shared" ca="1" si="14"/>
        <v>45574</v>
      </c>
      <c r="AC29">
        <f t="shared" ca="1" si="7"/>
        <v>16</v>
      </c>
      <c r="AD29" s="1">
        <f t="shared" si="15"/>
        <v>239000</v>
      </c>
      <c r="AE29" s="6">
        <v>-84000</v>
      </c>
      <c r="AF29" s="1">
        <v>0</v>
      </c>
      <c r="AG29" s="5">
        <f>Table1341112[[#This Row],[$Return]]/AVERAGE(Table1341112[[#This Row],[Starting]],Table1341112[[#This Row],[Starting]]+Table1341112[[#This Row],[Inflows]])</f>
        <v>-0.35146443514644349</v>
      </c>
      <c r="AH29" s="2">
        <f t="shared" si="2"/>
        <v>155000</v>
      </c>
      <c r="AI29" s="18">
        <f ca="1">IF(Table1341112[[#This Row],[Day]]=1,100,AI28*(1+Table1341112[[#This Row],[Return]]))</f>
        <v>119.23076923076924</v>
      </c>
      <c r="AJ29" s="3">
        <f ca="1">EXP(-((30-Table1341112[[#This Row],[Day]])/30))</f>
        <v>0.62708908527305607</v>
      </c>
      <c r="AK29" s="5"/>
      <c r="AL29" s="5">
        <f ca="1">IF(Table1341112[[#This Row],[Day]]&lt;=7,"",MIN(IF(AI29&lt;MAX(AI22:AI28),AI29/MAX(AI22:AI28)-1,-1%),-1%))</f>
        <v>-0.35146443514644354</v>
      </c>
      <c r="AM29" s="19"/>
      <c r="AO29" s="4">
        <f t="shared" ca="1" si="16"/>
        <v>45574</v>
      </c>
      <c r="AP29">
        <f t="shared" ca="1" si="8"/>
        <v>16</v>
      </c>
      <c r="AQ29" s="1">
        <v>394154.82</v>
      </c>
      <c r="AR29" s="6">
        <v>842.12</v>
      </c>
      <c r="AS29" s="1">
        <v>0</v>
      </c>
      <c r="AT29" s="5">
        <f>Table134111213[[#This Row],[$Return]]/AVERAGE(Table134111213[[#This Row],[Starting]],Table134111213[[#This Row],[Starting]]+Table134111213[[#This Row],[Inflows]])</f>
        <v>2.1365208726865244E-3</v>
      </c>
      <c r="AU29" s="2">
        <f t="shared" si="3"/>
        <v>394996.94</v>
      </c>
      <c r="AV29" s="18">
        <f ca="1">IF(Table134111213[[#This Row],[Day]]=1,100,AV28*(1+Table134111213[[#This Row],[Return]]))</f>
        <v>103.38168451779416</v>
      </c>
      <c r="AW29" s="3">
        <f ca="1">EXP(-((30-Table134111213[[#This Row],[Day]])/30))</f>
        <v>0.62708908527305607</v>
      </c>
      <c r="AX29" s="5"/>
      <c r="AY29" s="5">
        <f ca="1">IF(Table134111213[[#This Row],[Day]]&lt;=7,"",MIN(IF(AV29&lt;MAX(AV22:AV28),AV29/MAX(AV22:AV28)-1,-1%),-1%))</f>
        <v>-0.01</v>
      </c>
      <c r="AZ29" s="19"/>
      <c r="BB29" s="4">
        <f t="shared" ca="1" si="17"/>
        <v>45574</v>
      </c>
      <c r="BC29">
        <f t="shared" ca="1" si="9"/>
        <v>16</v>
      </c>
      <c r="BD29" s="1">
        <v>5519401.9800000004</v>
      </c>
      <c r="BE29" s="6">
        <v>17051.71</v>
      </c>
      <c r="BF29" s="1">
        <v>1500000</v>
      </c>
      <c r="BG29" s="5">
        <f>Table13411121314[[#This Row],[$Return]]/AVERAGE(Table13411121314[[#This Row],[Starting]],Table13411121314[[#This Row],[Starting]]+Table13411121314[[#This Row],[Inflows]])</f>
        <v>2.7198303848431807E-3</v>
      </c>
      <c r="BH29" s="2">
        <f t="shared" si="4"/>
        <v>7036453.6900000004</v>
      </c>
      <c r="BI29" s="18">
        <f ca="1">IF(Table13411121314[[#This Row],[Day]]=1,100,BI28*(1+Table13411121314[[#This Row],[Return]]))</f>
        <v>101.33105285661914</v>
      </c>
      <c r="BJ29" s="3">
        <f ca="1">EXP(-((30-Table13411121314[[#This Row],[Day]])/30))</f>
        <v>0.62708908527305607</v>
      </c>
      <c r="BK29" s="5"/>
      <c r="BL29" s="5">
        <f ca="1">IF(Table13411121314[[#This Row],[Day]]&lt;=7,"",MIN(IF(BI29&lt;MAX(BI22:BI28),BI29/MAX(BI22:BI28)-1,0.5%),-1%))</f>
        <v>-0.01</v>
      </c>
      <c r="BM29" s="19"/>
    </row>
    <row r="30" spans="2:65" x14ac:dyDescent="0.45">
      <c r="B30" s="4">
        <f t="shared" ca="1" si="10"/>
        <v>45575</v>
      </c>
      <c r="C30">
        <f t="shared" ca="1" si="5"/>
        <v>17</v>
      </c>
      <c r="D30" s="1">
        <f t="shared" si="11"/>
        <v>94503</v>
      </c>
      <c r="E30" s="6">
        <v>755</v>
      </c>
      <c r="F30" s="1">
        <v>564</v>
      </c>
      <c r="G30" s="5">
        <f>Table1310[[#This Row],[$Return]]/AVERAGE(Table1310[[#This Row],[Starting]],Table1310[[#This Row],[Starting]]+Table1310[[#This Row],[Inflows]])</f>
        <v>7.9653953684654753E-3</v>
      </c>
      <c r="H30" s="2">
        <f t="shared" si="0"/>
        <v>95822</v>
      </c>
      <c r="I30" s="18">
        <f ca="1">IF(Table1310[[#This Row],[Day]]=1,100,I29*(1+Table1310[[#This Row],[Return]]))</f>
        <v>89.61496422332479</v>
      </c>
      <c r="J30" s="3">
        <f ca="1">EXP(-((30-Table1310[[#This Row],[Day]])/30))</f>
        <v>0.64834434100150973</v>
      </c>
      <c r="K30" s="5"/>
      <c r="L30" s="5">
        <f ca="1">IF(Table1310[[#This Row],[Day]]&lt;=7,"",MIN(IF(I30&lt;MAX(I23:I29),I30/MAX(I23:I29)-1,-1%),-1%))</f>
        <v>-0.14886423958367356</v>
      </c>
      <c r="M30" s="19"/>
      <c r="O30" s="4">
        <f t="shared" ca="1" si="12"/>
        <v>45575</v>
      </c>
      <c r="P30">
        <f t="shared" ca="1" si="6"/>
        <v>17</v>
      </c>
      <c r="Q30" s="1">
        <f t="shared" si="13"/>
        <v>100807</v>
      </c>
      <c r="R30" s="6">
        <v>-134</v>
      </c>
      <c r="S30" s="1">
        <v>0</v>
      </c>
      <c r="T30" s="5">
        <f>Table13411[[#This Row],[$Return]]/AVERAGE(Table13411[[#This Row],[Starting]],Table13411[[#This Row],[Starting]]+Table13411[[#This Row],[Inflows]])</f>
        <v>-1.329272768756138E-3</v>
      </c>
      <c r="U30" s="2">
        <f t="shared" si="1"/>
        <v>100673</v>
      </c>
      <c r="V30" s="18">
        <f ca="1">IF(Table13411[[#This Row],[Day]]=1,100,V29*(1+Table13411[[#This Row],[Return]]))</f>
        <v>100.9273368889602</v>
      </c>
      <c r="W30" s="3">
        <f ca="1">EXP(-((30-Table13411[[#This Row],[Day]])/30))</f>
        <v>0.64834434100150973</v>
      </c>
      <c r="X30" s="5"/>
      <c r="Y30" s="5">
        <f ca="1">IF(Table13411[[#This Row],[Day]]&lt;=7,"",MIN(IF(V30&lt;MAX(V23:V29),V30/MAX(V23:V29)-1,-1%),-1%))</f>
        <v>-0.01</v>
      </c>
      <c r="Z30" s="19"/>
      <c r="AB30" s="4">
        <f t="shared" ca="1" si="14"/>
        <v>45575</v>
      </c>
      <c r="AC30">
        <f t="shared" ca="1" si="7"/>
        <v>17</v>
      </c>
      <c r="AD30" s="1">
        <f t="shared" si="15"/>
        <v>155000</v>
      </c>
      <c r="AE30" s="6">
        <v>48000</v>
      </c>
      <c r="AF30" s="1">
        <v>0</v>
      </c>
      <c r="AG30" s="5">
        <f>Table1341112[[#This Row],[$Return]]/AVERAGE(Table1341112[[#This Row],[Starting]],Table1341112[[#This Row],[Starting]]+Table1341112[[#This Row],[Inflows]])</f>
        <v>0.30967741935483872</v>
      </c>
      <c r="AH30" s="2">
        <f t="shared" si="2"/>
        <v>203000</v>
      </c>
      <c r="AI30" s="18">
        <f ca="1">IF(Table1341112[[#This Row],[Day]]=1,100,AI29*(1+Table1341112[[#This Row],[Return]]))</f>
        <v>156.15384615384616</v>
      </c>
      <c r="AJ30" s="3">
        <f ca="1">EXP(-((30-Table1341112[[#This Row],[Day]])/30))</f>
        <v>0.64834434100150973</v>
      </c>
      <c r="AK30" s="5"/>
      <c r="AL30" s="5">
        <f ca="1">IF(Table1341112[[#This Row],[Day]]&lt;=7,"",MIN(IF(AI30&lt;MAX(AI23:AI29),AI30/MAX(AI23:AI29)-1,-1%),-1%))</f>
        <v>-0.15062761506276157</v>
      </c>
      <c r="AM30" s="19"/>
      <c r="AO30" s="4">
        <f t="shared" ca="1" si="16"/>
        <v>45575</v>
      </c>
      <c r="AP30">
        <f t="shared" ca="1" si="8"/>
        <v>17</v>
      </c>
      <c r="AQ30" s="1">
        <v>390546.59</v>
      </c>
      <c r="AR30" s="6">
        <v>-3608.23</v>
      </c>
      <c r="AS30" s="1">
        <v>0</v>
      </c>
      <c r="AT30" s="5">
        <f>Table134111213[[#This Row],[$Return]]/AVERAGE(Table134111213[[#This Row],[Starting]],Table134111213[[#This Row],[Starting]]+Table134111213[[#This Row],[Inflows]])</f>
        <v>-9.2389233253835339E-3</v>
      </c>
      <c r="AU30" s="2">
        <f t="shared" si="3"/>
        <v>386938.36000000004</v>
      </c>
      <c r="AV30" s="18">
        <f ca="1">IF(Table134111213[[#This Row],[Day]]=1,100,AV29*(1+Table134111213[[#This Row],[Return]]))</f>
        <v>102.42654906128526</v>
      </c>
      <c r="AW30" s="3">
        <f ca="1">EXP(-((30-Table134111213[[#This Row],[Day]])/30))</f>
        <v>0.64834434100150973</v>
      </c>
      <c r="AX30" s="5"/>
      <c r="AY30" s="5">
        <f ca="1">IF(Table134111213[[#This Row],[Day]]&lt;=7,"",MIN(IF(AV30&lt;MAX(AV23:AV29),AV30/MAX(AV23:AV29)-1,-1%),-1%))</f>
        <v>-1.0166284404585335E-2</v>
      </c>
      <c r="AZ30" s="19"/>
      <c r="BB30" s="4">
        <f t="shared" ca="1" si="17"/>
        <v>45575</v>
      </c>
      <c r="BC30">
        <f t="shared" ca="1" si="9"/>
        <v>17</v>
      </c>
      <c r="BD30" s="1">
        <v>7040738.4699999997</v>
      </c>
      <c r="BE30" s="6">
        <v>21336.49</v>
      </c>
      <c r="BF30" s="1">
        <v>0</v>
      </c>
      <c r="BG30" s="5">
        <f>Table13411121314[[#This Row],[$Return]]/AVERAGE(Table13411121314[[#This Row],[Starting]],Table13411121314[[#This Row],[Starting]]+Table13411121314[[#This Row],[Inflows]])</f>
        <v>3.0304335391682291E-3</v>
      </c>
      <c r="BH30" s="2">
        <f t="shared" si="4"/>
        <v>7062074.96</v>
      </c>
      <c r="BI30" s="18">
        <f ca="1">IF(Table13411121314[[#This Row],[Day]]=1,100,BI29*(1+Table13411121314[[#This Row],[Return]]))</f>
        <v>101.63812987775506</v>
      </c>
      <c r="BJ30" s="3">
        <f ca="1">EXP(-((30-Table13411121314[[#This Row],[Day]])/30))</f>
        <v>0.64834434100150973</v>
      </c>
      <c r="BK30" s="5"/>
      <c r="BL30" s="5">
        <f ca="1">IF(Table13411121314[[#This Row],[Day]]&lt;=7,"",MIN(IF(BI30&lt;MAX(BI23:BI29),BI30/MAX(BI23:BI29)-1,0.5%),-1%))</f>
        <v>-0.01</v>
      </c>
      <c r="BM30" s="19"/>
    </row>
    <row r="31" spans="2:65" x14ac:dyDescent="0.45">
      <c r="B31" s="4">
        <f t="shared" ca="1" si="10"/>
        <v>45576</v>
      </c>
      <c r="C31">
        <f t="shared" ca="1" si="5"/>
        <v>18</v>
      </c>
      <c r="D31" s="1">
        <f t="shared" si="11"/>
        <v>95822</v>
      </c>
      <c r="E31" s="6">
        <v>5586</v>
      </c>
      <c r="F31" s="1">
        <v>817</v>
      </c>
      <c r="G31" s="5">
        <f>Table1310[[#This Row],[$Return]]/AVERAGE(Table1310[[#This Row],[Starting]],Table1310[[#This Row],[Starting]]+Table1310[[#This Row],[Inflows]])</f>
        <v>5.8048124035518886E-2</v>
      </c>
      <c r="H31" s="2">
        <f t="shared" si="0"/>
        <v>102225</v>
      </c>
      <c r="I31" s="18">
        <f ca="1">IF(Table1310[[#This Row],[Day]]=1,100,I30*(1+Table1310[[#This Row],[Return]]))</f>
        <v>94.816944781998927</v>
      </c>
      <c r="J31" s="3">
        <f ca="1">EXP(-((30-Table1310[[#This Row],[Day]])/30))</f>
        <v>0.67032004603563933</v>
      </c>
      <c r="K31" s="5"/>
      <c r="L31" s="5">
        <f ca="1">IF(Table1310[[#This Row],[Day]]&lt;=7,"",MIN(IF(I31&lt;MAX(I24:I30),I31/MAX(I24:I30)-1,-1%),-1%))</f>
        <v>-7.8424145410859181E-2</v>
      </c>
      <c r="M31" s="19"/>
      <c r="O31" s="4">
        <f t="shared" ca="1" si="12"/>
        <v>45576</v>
      </c>
      <c r="P31">
        <f t="shared" ca="1" si="6"/>
        <v>18</v>
      </c>
      <c r="Q31" s="1">
        <f t="shared" si="13"/>
        <v>100673</v>
      </c>
      <c r="R31" s="6">
        <v>993</v>
      </c>
      <c r="S31" s="1">
        <v>0</v>
      </c>
      <c r="T31" s="5">
        <f>Table13411[[#This Row],[$Return]]/AVERAGE(Table13411[[#This Row],[Starting]],Table13411[[#This Row],[Starting]]+Table13411[[#This Row],[Inflows]])</f>
        <v>9.8636178518570032E-3</v>
      </c>
      <c r="U31" s="2">
        <f t="shared" si="1"/>
        <v>101666</v>
      </c>
      <c r="V31" s="18">
        <f ca="1">IF(Table13411[[#This Row],[Day]]=1,100,V30*(1+Table13411[[#This Row],[Return]]))</f>
        <v>101.92284557083853</v>
      </c>
      <c r="W31" s="3">
        <f ca="1">EXP(-((30-Table13411[[#This Row],[Day]])/30))</f>
        <v>0.67032004603563933</v>
      </c>
      <c r="X31" s="5"/>
      <c r="Y31" s="5">
        <f ca="1">IF(Table13411[[#This Row],[Day]]&lt;=7,"",MIN(IF(V31&lt;MAX(V24:V30),V31/MAX(V24:V30)-1,-1%),-1%))</f>
        <v>-0.01</v>
      </c>
      <c r="Z31" s="19"/>
      <c r="AB31" s="4">
        <f t="shared" ca="1" si="14"/>
        <v>45576</v>
      </c>
      <c r="AC31">
        <f t="shared" ca="1" si="7"/>
        <v>18</v>
      </c>
      <c r="AD31" s="1">
        <f t="shared" si="15"/>
        <v>203000</v>
      </c>
      <c r="AE31" s="6">
        <v>-50000</v>
      </c>
      <c r="AF31" s="1">
        <v>0</v>
      </c>
      <c r="AG31" s="5">
        <f>Table1341112[[#This Row],[$Return]]/AVERAGE(Table1341112[[#This Row],[Starting]],Table1341112[[#This Row],[Starting]]+Table1341112[[#This Row],[Inflows]])</f>
        <v>-0.24630541871921183</v>
      </c>
      <c r="AH31" s="2">
        <f t="shared" si="2"/>
        <v>153000</v>
      </c>
      <c r="AI31" s="18">
        <f ca="1">IF(Table1341112[[#This Row],[Day]]=1,100,AI30*(1+Table1341112[[#This Row],[Return]]))</f>
        <v>117.69230769230769</v>
      </c>
      <c r="AJ31" s="3">
        <f ca="1">EXP(-((30-Table1341112[[#This Row],[Day]])/30))</f>
        <v>0.67032004603563933</v>
      </c>
      <c r="AK31" s="5"/>
      <c r="AL31" s="5">
        <f ca="1">IF(Table1341112[[#This Row],[Day]]&lt;=7,"",MIN(IF(AI31&lt;MAX(AI24:AI30),AI31/MAX(AI24:AI30)-1,-1%),-1%))</f>
        <v>-0.35983263598326365</v>
      </c>
      <c r="AM31" s="19"/>
      <c r="AO31" s="4">
        <f t="shared" ca="1" si="16"/>
        <v>45576</v>
      </c>
      <c r="AP31">
        <f t="shared" ca="1" si="8"/>
        <v>18</v>
      </c>
      <c r="AQ31" s="1">
        <v>391643.61</v>
      </c>
      <c r="AR31" s="6">
        <v>1097.02</v>
      </c>
      <c r="AS31" s="1">
        <v>0</v>
      </c>
      <c r="AT31" s="5">
        <f>Table134111213[[#This Row],[$Return]]/AVERAGE(Table134111213[[#This Row],[Starting]],Table134111213[[#This Row],[Starting]]+Table134111213[[#This Row],[Inflows]])</f>
        <v>2.8010670211113622E-3</v>
      </c>
      <c r="AU31" s="2">
        <f t="shared" si="3"/>
        <v>392740.63</v>
      </c>
      <c r="AV31" s="18">
        <f ca="1">IF(Table134111213[[#This Row],[Day]]=1,100,AV30*(1+Table134111213[[#This Row],[Return]]))</f>
        <v>102.71345268994708</v>
      </c>
      <c r="AW31" s="3">
        <f ca="1">EXP(-((30-Table134111213[[#This Row],[Day]])/30))</f>
        <v>0.67032004603563933</v>
      </c>
      <c r="AX31" s="5"/>
      <c r="AY31" s="5">
        <f ca="1">IF(Table134111213[[#This Row],[Day]]&lt;=7,"",MIN(IF(AV31&lt;MAX(AV24:AV30),AV31/MAX(AV24:AV30)-1,-1%),-1%))</f>
        <v>-0.01</v>
      </c>
      <c r="AZ31" s="19"/>
      <c r="BB31" s="4">
        <f t="shared" ca="1" si="17"/>
        <v>45576</v>
      </c>
      <c r="BC31">
        <f t="shared" ca="1" si="9"/>
        <v>18</v>
      </c>
      <c r="BD31" s="1">
        <v>7050313.3899999997</v>
      </c>
      <c r="BE31" s="6">
        <v>9574.92</v>
      </c>
      <c r="BF31" s="1">
        <v>0</v>
      </c>
      <c r="BG31" s="5">
        <f>Table13411121314[[#This Row],[$Return]]/AVERAGE(Table13411121314[[#This Row],[Starting]],Table13411121314[[#This Row],[Starting]]+Table13411121314[[#This Row],[Inflows]])</f>
        <v>1.3580843106323251E-3</v>
      </c>
      <c r="BH31" s="2">
        <f t="shared" si="4"/>
        <v>7059888.3099999996</v>
      </c>
      <c r="BI31" s="18">
        <f ca="1">IF(Table13411121314[[#This Row],[Day]]=1,100,BI30*(1+Table13411121314[[#This Row],[Return]]))</f>
        <v>101.77616302730404</v>
      </c>
      <c r="BJ31" s="3">
        <f ca="1">EXP(-((30-Table13411121314[[#This Row],[Day]])/30))</f>
        <v>0.67032004603563933</v>
      </c>
      <c r="BK31" s="5"/>
      <c r="BL31" s="5">
        <f ca="1">IF(Table13411121314[[#This Row],[Day]]&lt;=7,"",MIN(IF(BI31&lt;MAX(BI24:BI30),BI31/MAX(BI24:BI30)-1,0.5%),-1%))</f>
        <v>-0.01</v>
      </c>
      <c r="BM31" s="19"/>
    </row>
    <row r="32" spans="2:65" x14ac:dyDescent="0.45">
      <c r="B32" s="4">
        <f t="shared" ca="1" si="10"/>
        <v>45577</v>
      </c>
      <c r="C32">
        <f t="shared" ca="1" si="5"/>
        <v>19</v>
      </c>
      <c r="D32" s="1">
        <f t="shared" si="11"/>
        <v>102225</v>
      </c>
      <c r="E32" s="6">
        <v>1058</v>
      </c>
      <c r="F32" s="1">
        <v>802</v>
      </c>
      <c r="G32" s="5">
        <f>Table1310[[#This Row],[$Return]]/AVERAGE(Table1310[[#This Row],[Starting]],Table1310[[#This Row],[Starting]]+Table1310[[#This Row],[Inflows]])</f>
        <v>1.0309278350515464E-2</v>
      </c>
      <c r="H32" s="2">
        <f t="shared" si="0"/>
        <v>104085</v>
      </c>
      <c r="I32" s="18">
        <f ca="1">IF(Table1310[[#This Row],[Day]]=1,100,I31*(1+Table1310[[#This Row],[Return]]))</f>
        <v>95.794439058102</v>
      </c>
      <c r="J32" s="3">
        <f ca="1">EXP(-((30-Table1310[[#This Row],[Day]])/30))</f>
        <v>0.69304062008644152</v>
      </c>
      <c r="K32" s="5"/>
      <c r="L32" s="5">
        <f ca="1">IF(Table1310[[#This Row],[Day]]&lt;=7,"",MIN(IF(I32&lt;MAX(I25:I31),I32/MAX(I25:I31)-1,-1%),-1%))</f>
        <v>-3.3644864839203925E-2</v>
      </c>
      <c r="M32" s="19"/>
      <c r="O32" s="4">
        <f t="shared" ca="1" si="12"/>
        <v>45577</v>
      </c>
      <c r="P32">
        <f t="shared" ca="1" si="6"/>
        <v>19</v>
      </c>
      <c r="Q32" s="1">
        <f t="shared" si="13"/>
        <v>101666</v>
      </c>
      <c r="R32" s="6">
        <v>21</v>
      </c>
      <c r="S32" s="1">
        <v>0</v>
      </c>
      <c r="T32" s="5">
        <f>Table13411[[#This Row],[$Return]]/AVERAGE(Table13411[[#This Row],[Starting]],Table13411[[#This Row],[Starting]]+Table13411[[#This Row],[Inflows]])</f>
        <v>2.0655873153266579E-4</v>
      </c>
      <c r="U32" s="2">
        <f t="shared" si="1"/>
        <v>101687</v>
      </c>
      <c r="V32" s="18">
        <f ca="1">IF(Table13411[[#This Row],[Day]]=1,100,V31*(1+Table13411[[#This Row],[Return]]))</f>
        <v>101.94389862453386</v>
      </c>
      <c r="W32" s="3">
        <f ca="1">EXP(-((30-Table13411[[#This Row],[Day]])/30))</f>
        <v>0.69304062008644152</v>
      </c>
      <c r="X32" s="5"/>
      <c r="Y32" s="5">
        <f ca="1">IF(Table13411[[#This Row],[Day]]&lt;=7,"",MIN(IF(V32&lt;MAX(V25:V31),V32/MAX(V25:V31)-1,-1%),-1%))</f>
        <v>-0.01</v>
      </c>
      <c r="Z32" s="19"/>
      <c r="AB32" s="4">
        <f t="shared" ca="1" si="14"/>
        <v>45577</v>
      </c>
      <c r="AC32">
        <f t="shared" ca="1" si="7"/>
        <v>19</v>
      </c>
      <c r="AD32" s="1">
        <f t="shared" si="15"/>
        <v>153000</v>
      </c>
      <c r="AE32" s="6">
        <v>33500</v>
      </c>
      <c r="AF32" s="1">
        <v>0</v>
      </c>
      <c r="AG32" s="5">
        <f>Table1341112[[#This Row],[$Return]]/AVERAGE(Table1341112[[#This Row],[Starting]],Table1341112[[#This Row],[Starting]]+Table1341112[[#This Row],[Inflows]])</f>
        <v>0.21895424836601307</v>
      </c>
      <c r="AH32" s="2">
        <f t="shared" si="2"/>
        <v>186500</v>
      </c>
      <c r="AI32" s="18">
        <f ca="1">IF(Table1341112[[#This Row],[Day]]=1,100,AI31*(1+Table1341112[[#This Row],[Return]]))</f>
        <v>143.46153846153848</v>
      </c>
      <c r="AJ32" s="3">
        <f ca="1">EXP(-((30-Table1341112[[#This Row],[Day]])/30))</f>
        <v>0.69304062008644152</v>
      </c>
      <c r="AK32" s="5"/>
      <c r="AL32" s="5">
        <f ca="1">IF(Table1341112[[#This Row],[Day]]&lt;=7,"",MIN(IF(AI32&lt;MAX(AI25:AI31),AI32/MAX(AI25:AI31)-1,-1%),-1%))</f>
        <v>-0.21966527196652719</v>
      </c>
      <c r="AM32" s="19"/>
      <c r="AO32" s="4">
        <f t="shared" ca="1" si="16"/>
        <v>45577</v>
      </c>
      <c r="AP32">
        <f t="shared" ca="1" si="8"/>
        <v>19</v>
      </c>
      <c r="AQ32" s="1">
        <v>390172.05</v>
      </c>
      <c r="AR32" s="6">
        <v>-1471.55</v>
      </c>
      <c r="AS32" s="1">
        <v>500000</v>
      </c>
      <c r="AT32" s="5">
        <f>Table134111213[[#This Row],[$Return]]/AVERAGE(Table134111213[[#This Row],[Starting]],Table134111213[[#This Row],[Starting]]+Table134111213[[#This Row],[Inflows]])</f>
        <v>-2.2986789254544927E-3</v>
      </c>
      <c r="AU32" s="2">
        <f t="shared" si="3"/>
        <v>888700.5</v>
      </c>
      <c r="AV32" s="18">
        <f ca="1">IF(Table134111213[[#This Row],[Day]]=1,100,AV31*(1+Table134111213[[#This Row],[Return]]))</f>
        <v>102.47734744088802</v>
      </c>
      <c r="AW32" s="3">
        <f ca="1">EXP(-((30-Table134111213[[#This Row],[Day]])/30))</f>
        <v>0.69304062008644152</v>
      </c>
      <c r="AX32" s="5"/>
      <c r="AY32" s="5">
        <f ca="1">IF(Table134111213[[#This Row],[Day]]&lt;=7,"",MIN(IF(AV32&lt;MAX(AV25:AV31),AV32/MAX(AV25:AV31)-1,-1%),-1%))</f>
        <v>-0.01</v>
      </c>
      <c r="AZ32" s="19"/>
      <c r="BB32" s="4">
        <f t="shared" ca="1" si="17"/>
        <v>45577</v>
      </c>
      <c r="BC32">
        <f t="shared" ca="1" si="9"/>
        <v>19</v>
      </c>
      <c r="BD32" s="1">
        <v>7065002.1100000003</v>
      </c>
      <c r="BE32" s="6">
        <v>14688.72</v>
      </c>
      <c r="BF32" s="1">
        <v>0</v>
      </c>
      <c r="BG32" s="5">
        <f>Table13411121314[[#This Row],[$Return]]/AVERAGE(Table13411121314[[#This Row],[Starting]],Table13411121314[[#This Row],[Starting]]+Table13411121314[[#This Row],[Inflows]])</f>
        <v>2.0790821816187681E-3</v>
      </c>
      <c r="BH32" s="2">
        <f t="shared" si="4"/>
        <v>7079690.8300000001</v>
      </c>
      <c r="BI32" s="18">
        <f ca="1">IF(Table13411121314[[#This Row],[Day]]=1,100,BI31*(1+Table13411121314[[#This Row],[Return]]))</f>
        <v>101.98776403436763</v>
      </c>
      <c r="BJ32" s="3">
        <f ca="1">EXP(-((30-Table13411121314[[#This Row],[Day]])/30))</f>
        <v>0.69304062008644152</v>
      </c>
      <c r="BK32" s="5"/>
      <c r="BL32" s="5">
        <f ca="1">IF(Table13411121314[[#This Row],[Day]]&lt;=7,"",MIN(IF(BI32&lt;MAX(BI25:BI31),BI32/MAX(BI25:BI31)-1,0.5%),-1%))</f>
        <v>-0.01</v>
      </c>
      <c r="BM32" s="19"/>
    </row>
    <row r="33" spans="2:65" x14ac:dyDescent="0.45">
      <c r="B33" s="4">
        <f t="shared" ca="1" si="10"/>
        <v>45578</v>
      </c>
      <c r="C33">
        <f t="shared" ca="1" si="5"/>
        <v>20</v>
      </c>
      <c r="D33" s="1">
        <f t="shared" si="11"/>
        <v>104085</v>
      </c>
      <c r="E33" s="6">
        <v>350</v>
      </c>
      <c r="F33" s="1">
        <v>339</v>
      </c>
      <c r="G33" s="5">
        <f>Table1310[[#This Row],[$Return]]/AVERAGE(Table1310[[#This Row],[Starting]],Table1310[[#This Row],[Starting]]+Table1310[[#This Row],[Inflows]])</f>
        <v>3.3571692349011312E-3</v>
      </c>
      <c r="H33" s="2">
        <f t="shared" si="0"/>
        <v>104774</v>
      </c>
      <c r="I33" s="18">
        <f ca="1">IF(Table1310[[#This Row],[Day]]=1,100,I32*(1+Table1310[[#This Row],[Return]]))</f>
        <v>96.116037201782461</v>
      </c>
      <c r="J33" s="3">
        <f ca="1">EXP(-((30-Table1310[[#This Row],[Day]])/30))</f>
        <v>0.71653131057378927</v>
      </c>
      <c r="K33" s="5"/>
      <c r="L33" s="5">
        <f ca="1">IF(Table1310[[#This Row],[Day]]&lt;=7,"",MIN(IF(I33&lt;MAX(I26:I32),I33/MAX(I26:I32)-1,-1%),-1%))</f>
        <v>-0.01</v>
      </c>
      <c r="M33" s="19"/>
      <c r="O33" s="4">
        <f t="shared" ca="1" si="12"/>
        <v>45578</v>
      </c>
      <c r="P33">
        <f t="shared" ca="1" si="6"/>
        <v>20</v>
      </c>
      <c r="Q33" s="1">
        <f t="shared" si="13"/>
        <v>101687</v>
      </c>
      <c r="R33" s="6">
        <v>220</v>
      </c>
      <c r="S33" s="1">
        <v>0</v>
      </c>
      <c r="T33" s="5">
        <f>Table13411[[#This Row],[$Return]]/AVERAGE(Table13411[[#This Row],[Starting]],Table13411[[#This Row],[Starting]]+Table13411[[#This Row],[Inflows]])</f>
        <v>2.1635017258843313E-3</v>
      </c>
      <c r="U33" s="2">
        <f t="shared" si="1"/>
        <v>101907</v>
      </c>
      <c r="V33" s="18">
        <f ca="1">IF(Table13411[[#This Row],[Day]]=1,100,V32*(1+Table13411[[#This Row],[Return]]))</f>
        <v>102.16445442515142</v>
      </c>
      <c r="W33" s="3">
        <f ca="1">EXP(-((30-Table13411[[#This Row],[Day]])/30))</f>
        <v>0.71653131057378927</v>
      </c>
      <c r="X33" s="5"/>
      <c r="Y33" s="5">
        <f ca="1">IF(Table13411[[#This Row],[Day]]&lt;=7,"",MIN(IF(V33&lt;MAX(V26:V32),V33/MAX(V26:V32)-1,-1%),-1%))</f>
        <v>-0.01</v>
      </c>
      <c r="Z33" s="19"/>
      <c r="AB33" s="4">
        <f t="shared" ca="1" si="14"/>
        <v>45578</v>
      </c>
      <c r="AC33">
        <f t="shared" ca="1" si="7"/>
        <v>20</v>
      </c>
      <c r="AD33" s="1">
        <f t="shared" si="15"/>
        <v>186500</v>
      </c>
      <c r="AE33" s="6">
        <v>-27000</v>
      </c>
      <c r="AF33" s="1">
        <v>0</v>
      </c>
      <c r="AG33" s="5">
        <f>Table1341112[[#This Row],[$Return]]/AVERAGE(Table1341112[[#This Row],[Starting]],Table1341112[[#This Row],[Starting]]+Table1341112[[#This Row],[Inflows]])</f>
        <v>-0.1447721179624665</v>
      </c>
      <c r="AH33" s="2">
        <f t="shared" si="2"/>
        <v>159500</v>
      </c>
      <c r="AI33" s="18">
        <f ca="1">IF(Table1341112[[#This Row],[Day]]=1,100,AI32*(1+Table1341112[[#This Row],[Return]]))</f>
        <v>122.69230769230771</v>
      </c>
      <c r="AJ33" s="3">
        <f ca="1">EXP(-((30-Table1341112[[#This Row],[Day]])/30))</f>
        <v>0.71653131057378927</v>
      </c>
      <c r="AK33" s="5"/>
      <c r="AL33" s="5">
        <f ca="1">IF(Table1341112[[#This Row],[Day]]&lt;=7,"",MIN(IF(AI33&lt;MAX(AI26:AI32),AI33/MAX(AI26:AI32)-1,-1%),-1%))</f>
        <v>-0.33263598326359833</v>
      </c>
      <c r="AM33" s="19"/>
      <c r="AO33" s="4">
        <f t="shared" ca="1" si="16"/>
        <v>45578</v>
      </c>
      <c r="AP33">
        <f t="shared" ca="1" si="8"/>
        <v>20</v>
      </c>
      <c r="AQ33" s="1">
        <v>889125.05</v>
      </c>
      <c r="AR33" s="6">
        <v>-1047</v>
      </c>
      <c r="AS33" s="1">
        <v>0</v>
      </c>
      <c r="AT33" s="5">
        <f>Table134111213[[#This Row],[$Return]]/AVERAGE(Table134111213[[#This Row],[Starting]],Table134111213[[#This Row],[Starting]]+Table134111213[[#This Row],[Inflows]])</f>
        <v>-1.1775621438176779E-3</v>
      </c>
      <c r="AU33" s="2">
        <f t="shared" si="3"/>
        <v>888078.05</v>
      </c>
      <c r="AV33" s="18">
        <f ca="1">IF(Table134111213[[#This Row],[Day]]=1,100,AV32*(1+Table134111213[[#This Row],[Return]]))</f>
        <v>102.35667399594278</v>
      </c>
      <c r="AW33" s="3">
        <f ca="1">EXP(-((30-Table134111213[[#This Row],[Day]])/30))</f>
        <v>0.71653131057378927</v>
      </c>
      <c r="AX33" s="5"/>
      <c r="AY33" s="5">
        <f ca="1">IF(Table134111213[[#This Row],[Day]]&lt;=7,"",MIN(IF(AV33&lt;MAX(AV26:AV32),AV33/MAX(AV26:AV32)-1,-1%),-1%))</f>
        <v>-0.01</v>
      </c>
      <c r="AZ33" s="19"/>
      <c r="BB33" s="4">
        <f t="shared" ca="1" si="17"/>
        <v>45578</v>
      </c>
      <c r="BC33">
        <f t="shared" ca="1" si="9"/>
        <v>20</v>
      </c>
      <c r="BD33" s="1">
        <v>7069390.4100000001</v>
      </c>
      <c r="BE33" s="6">
        <v>4388.29</v>
      </c>
      <c r="BF33" s="1">
        <v>0</v>
      </c>
      <c r="BG33" s="5">
        <f>Table13411121314[[#This Row],[$Return]]/AVERAGE(Table13411121314[[#This Row],[Starting]],Table13411121314[[#This Row],[Starting]]+Table13411121314[[#This Row],[Inflows]])</f>
        <v>6.207451768107966E-4</v>
      </c>
      <c r="BH33" s="2">
        <f t="shared" si="4"/>
        <v>7073778.7000000002</v>
      </c>
      <c r="BI33" s="18">
        <f ca="1">IF(Table13411121314[[#This Row],[Day]]=1,100,BI32*(1+Table13411121314[[#This Row],[Return]]))</f>
        <v>102.05107244698567</v>
      </c>
      <c r="BJ33" s="3">
        <f ca="1">EXP(-((30-Table13411121314[[#This Row],[Day]])/30))</f>
        <v>0.71653131057378927</v>
      </c>
      <c r="BK33" s="5"/>
      <c r="BL33" s="5">
        <f ca="1">IF(Table13411121314[[#This Row],[Day]]&lt;=7,"",MIN(IF(BI33&lt;MAX(BI26:BI32),BI33/MAX(BI26:BI32)-1,0.5%),-1%))</f>
        <v>-0.01</v>
      </c>
      <c r="BM33" s="19"/>
    </row>
    <row r="34" spans="2:65" x14ac:dyDescent="0.45">
      <c r="B34" s="4">
        <f t="shared" ca="1" si="10"/>
        <v>45579</v>
      </c>
      <c r="C34">
        <f t="shared" ca="1" si="5"/>
        <v>21</v>
      </c>
      <c r="D34" s="1">
        <f t="shared" si="11"/>
        <v>104774</v>
      </c>
      <c r="E34" s="6">
        <v>852</v>
      </c>
      <c r="F34" s="1">
        <v>622</v>
      </c>
      <c r="G34" s="5">
        <f>Table1310[[#This Row],[$Return]]/AVERAGE(Table1310[[#This Row],[Starting]],Table1310[[#This Row],[Starting]]+Table1310[[#This Row],[Inflows]])</f>
        <v>8.1077223200266453E-3</v>
      </c>
      <c r="H34" s="2">
        <f t="shared" si="0"/>
        <v>106248</v>
      </c>
      <c r="I34" s="18">
        <f ca="1">IF(Table1310[[#This Row],[Day]]=1,100,I33*(1+Table1310[[#This Row],[Return]]))</f>
        <v>96.895319341915851</v>
      </c>
      <c r="J34" s="3">
        <f ca="1">EXP(-((30-Table1310[[#This Row],[Day]])/30))</f>
        <v>0.74081822068171788</v>
      </c>
      <c r="K34" s="5"/>
      <c r="L34" s="5">
        <f ca="1">IF(Table1310[[#This Row],[Day]]&lt;=7,"",MIN(IF(I34&lt;MAX(I27:I33),I34/MAX(I27:I33)-1,-1%),-1%))</f>
        <v>-0.01</v>
      </c>
      <c r="M34" s="19"/>
      <c r="O34" s="4">
        <f t="shared" ca="1" si="12"/>
        <v>45579</v>
      </c>
      <c r="P34">
        <f t="shared" ca="1" si="6"/>
        <v>21</v>
      </c>
      <c r="Q34" s="1">
        <f t="shared" si="13"/>
        <v>101907</v>
      </c>
      <c r="R34" s="6">
        <v>861</v>
      </c>
      <c r="S34" s="1">
        <v>0</v>
      </c>
      <c r="T34" s="5">
        <f>Table13411[[#This Row],[$Return]]/AVERAGE(Table13411[[#This Row],[Starting]],Table13411[[#This Row],[Starting]]+Table13411[[#This Row],[Inflows]])</f>
        <v>8.4488798610497812E-3</v>
      </c>
      <c r="U34" s="2">
        <f t="shared" si="1"/>
        <v>102768</v>
      </c>
      <c r="V34" s="18">
        <f ca="1">IF(Table13411[[#This Row],[Day]]=1,100,V33*(1+Table13411[[#This Row],[Return]]))</f>
        <v>103.02762962665922</v>
      </c>
      <c r="W34" s="3">
        <f ca="1">EXP(-((30-Table13411[[#This Row],[Day]])/30))</f>
        <v>0.74081822068171788</v>
      </c>
      <c r="X34" s="5"/>
      <c r="Y34" s="5">
        <f ca="1">IF(Table13411[[#This Row],[Day]]&lt;=7,"",MIN(IF(V34&lt;MAX(V27:V33),V34/MAX(V27:V33)-1,-1%),-1%))</f>
        <v>-0.01</v>
      </c>
      <c r="Z34" s="19"/>
      <c r="AB34" s="4">
        <f t="shared" ca="1" si="14"/>
        <v>45579</v>
      </c>
      <c r="AC34">
        <f t="shared" ca="1" si="7"/>
        <v>21</v>
      </c>
      <c r="AD34" s="1">
        <f t="shared" si="15"/>
        <v>159500</v>
      </c>
      <c r="AE34" s="6">
        <v>-50000</v>
      </c>
      <c r="AF34" s="1">
        <v>0</v>
      </c>
      <c r="AG34" s="5">
        <f>Table1341112[[#This Row],[$Return]]/AVERAGE(Table1341112[[#This Row],[Starting]],Table1341112[[#This Row],[Starting]]+Table1341112[[#This Row],[Inflows]])</f>
        <v>-0.31347962382445144</v>
      </c>
      <c r="AH34" s="2">
        <f t="shared" si="2"/>
        <v>109500</v>
      </c>
      <c r="AI34" s="18">
        <f ca="1">IF(Table1341112[[#This Row],[Day]]=1,100,AI33*(1+Table1341112[[#This Row],[Return]]))</f>
        <v>84.230769230769226</v>
      </c>
      <c r="AJ34" s="3">
        <f ca="1">EXP(-((30-Table1341112[[#This Row],[Day]])/30))</f>
        <v>0.74081822068171788</v>
      </c>
      <c r="AK34" s="5"/>
      <c r="AL34" s="5">
        <f ca="1">IF(Table1341112[[#This Row],[Day]]&lt;=7,"",MIN(IF(AI34&lt;MAX(AI27:AI33),AI34/MAX(AI27:AI33)-1,-1%),-1%))</f>
        <v>-0.54184100418410042</v>
      </c>
      <c r="AM34" s="19"/>
      <c r="AO34" s="4">
        <f t="shared" ca="1" si="16"/>
        <v>45579</v>
      </c>
      <c r="AP34">
        <f t="shared" ca="1" si="8"/>
        <v>21</v>
      </c>
      <c r="AQ34" s="1">
        <v>889836.33</v>
      </c>
      <c r="AR34" s="6">
        <v>711.27</v>
      </c>
      <c r="AS34" s="1">
        <v>0</v>
      </c>
      <c r="AT34" s="5">
        <f>Table134111213[[#This Row],[$Return]]/AVERAGE(Table134111213[[#This Row],[Starting]],Table134111213[[#This Row],[Starting]]+Table134111213[[#This Row],[Inflows]])</f>
        <v>7.9932677057588787E-4</v>
      </c>
      <c r="AU34" s="2">
        <f t="shared" si="3"/>
        <v>890547.6</v>
      </c>
      <c r="AV34" s="18">
        <f ca="1">IF(Table134111213[[#This Row],[Day]]=1,100,AV33*(1+Table134111213[[#This Row],[Return]]))</f>
        <v>102.43849042561486</v>
      </c>
      <c r="AW34" s="3">
        <f ca="1">EXP(-((30-Table134111213[[#This Row],[Day]])/30))</f>
        <v>0.74081822068171788</v>
      </c>
      <c r="AX34" s="5"/>
      <c r="AY34" s="5">
        <f ca="1">IF(Table134111213[[#This Row],[Day]]&lt;=7,"",MIN(IF(AV34&lt;MAX(AV27:AV33),AV34/MAX(AV27:AV33)-1,-1%),-1%))</f>
        <v>-0.01</v>
      </c>
      <c r="AZ34" s="19"/>
      <c r="BB34" s="4">
        <f t="shared" ca="1" si="17"/>
        <v>45579</v>
      </c>
      <c r="BC34">
        <f t="shared" ca="1" si="9"/>
        <v>21</v>
      </c>
      <c r="BD34" s="1">
        <v>7095948.6299999999</v>
      </c>
      <c r="BE34" s="6">
        <v>26558.23</v>
      </c>
      <c r="BF34" s="1">
        <v>0</v>
      </c>
      <c r="BG34" s="5">
        <f>Table13411121314[[#This Row],[$Return]]/AVERAGE(Table13411121314[[#This Row],[Starting]],Table13411121314[[#This Row],[Starting]]+Table13411121314[[#This Row],[Inflows]])</f>
        <v>3.7427314351907871E-3</v>
      </c>
      <c r="BH34" s="2">
        <f t="shared" si="4"/>
        <v>7122506.8600000003</v>
      </c>
      <c r="BI34" s="18">
        <f ca="1">IF(Table13411121314[[#This Row],[Day]]=1,100,BI33*(1+Table13411121314[[#This Row],[Return]]))</f>
        <v>102.43302220382793</v>
      </c>
      <c r="BJ34" s="3">
        <f ca="1">EXP(-((30-Table13411121314[[#This Row],[Day]])/30))</f>
        <v>0.74081822068171788</v>
      </c>
      <c r="BK34" s="5"/>
      <c r="BL34" s="5">
        <f ca="1">IF(Table13411121314[[#This Row],[Day]]&lt;=7,"",MIN(IF(BI34&lt;MAX(BI27:BI33),BI34/MAX(BI27:BI33)-1,0.5%),-1%))</f>
        <v>-0.01</v>
      </c>
      <c r="BM34" s="19"/>
    </row>
    <row r="35" spans="2:65" x14ac:dyDescent="0.45">
      <c r="B35" s="4">
        <f t="shared" ca="1" si="10"/>
        <v>45580</v>
      </c>
      <c r="C35">
        <f t="shared" ca="1" si="5"/>
        <v>22</v>
      </c>
      <c r="D35" s="1">
        <f t="shared" si="11"/>
        <v>106248</v>
      </c>
      <c r="E35" s="6">
        <v>6949</v>
      </c>
      <c r="F35" s="1">
        <v>353</v>
      </c>
      <c r="G35" s="5">
        <f>Table1310[[#This Row],[$Return]]/AVERAGE(Table1310[[#This Row],[Starting]],Table1310[[#This Row],[Starting]]+Table1310[[#This Row],[Inflows]])</f>
        <v>6.5295115316491972E-2</v>
      </c>
      <c r="H35" s="2">
        <f t="shared" si="0"/>
        <v>113550</v>
      </c>
      <c r="I35" s="18">
        <f ca="1">IF(Table1310[[#This Row],[Day]]=1,100,I34*(1+Table1310[[#This Row],[Return]]))</f>
        <v>103.22211039197457</v>
      </c>
      <c r="J35" s="3">
        <f ca="1">EXP(-((30-Table1310[[#This Row],[Day]])/30))</f>
        <v>0.76592833836464869</v>
      </c>
      <c r="K35" s="5"/>
      <c r="L35" s="5">
        <f ca="1">IF(Table1310[[#This Row],[Day]]&lt;=7,"",MIN(IF(I35&lt;MAX(I28:I34),I35/MAX(I28:I34)-1,-1%),-1%))</f>
        <v>-0.01</v>
      </c>
      <c r="M35" s="19"/>
      <c r="O35" s="4">
        <f t="shared" ca="1" si="12"/>
        <v>45580</v>
      </c>
      <c r="P35">
        <f t="shared" ca="1" si="6"/>
        <v>22</v>
      </c>
      <c r="Q35" s="1">
        <f t="shared" si="13"/>
        <v>102768</v>
      </c>
      <c r="R35" s="6">
        <v>-153</v>
      </c>
      <c r="S35" s="1">
        <v>0</v>
      </c>
      <c r="T35" s="5">
        <f>Table13411[[#This Row],[$Return]]/AVERAGE(Table13411[[#This Row],[Starting]],Table13411[[#This Row],[Starting]]+Table13411[[#This Row],[Inflows]])</f>
        <v>-1.4887902849135919E-3</v>
      </c>
      <c r="U35" s="2">
        <f t="shared" si="1"/>
        <v>102615</v>
      </c>
      <c r="V35" s="18">
        <f ca="1">IF(Table13411[[#This Row],[Day]]=1,100,V34*(1+Table13411[[#This Row],[Return]]))</f>
        <v>102.87424309259337</v>
      </c>
      <c r="W35" s="3">
        <f ca="1">EXP(-((30-Table13411[[#This Row],[Day]])/30))</f>
        <v>0.76592833836464869</v>
      </c>
      <c r="X35" s="5"/>
      <c r="Y35" s="5">
        <f ca="1">IF(Table13411[[#This Row],[Day]]&lt;=7,"",MIN(IF(V35&lt;MAX(V28:V34),V35/MAX(V28:V34)-1,-1%),-1%))</f>
        <v>-0.01</v>
      </c>
      <c r="Z35" s="19"/>
      <c r="AB35" s="4">
        <f t="shared" ca="1" si="14"/>
        <v>45580</v>
      </c>
      <c r="AC35">
        <f t="shared" ca="1" si="7"/>
        <v>22</v>
      </c>
      <c r="AD35" s="1">
        <f t="shared" si="15"/>
        <v>109500</v>
      </c>
      <c r="AE35" s="6">
        <v>44500</v>
      </c>
      <c r="AF35" s="1">
        <v>0</v>
      </c>
      <c r="AG35" s="5">
        <f>Table1341112[[#This Row],[$Return]]/AVERAGE(Table1341112[[#This Row],[Starting]],Table1341112[[#This Row],[Starting]]+Table1341112[[#This Row],[Inflows]])</f>
        <v>0.40639269406392692</v>
      </c>
      <c r="AH35" s="2">
        <f t="shared" si="2"/>
        <v>154000</v>
      </c>
      <c r="AI35" s="18">
        <f ca="1">IF(Table1341112[[#This Row],[Day]]=1,100,AI34*(1+Table1341112[[#This Row],[Return]]))</f>
        <v>118.46153846153845</v>
      </c>
      <c r="AJ35" s="3">
        <f ca="1">EXP(-((30-Table1341112[[#This Row],[Day]])/30))</f>
        <v>0.76592833836464869</v>
      </c>
      <c r="AK35" s="5"/>
      <c r="AL35" s="5">
        <f ca="1">IF(Table1341112[[#This Row],[Day]]&lt;=7,"",MIN(IF(AI35&lt;MAX(AI28:AI34),AI35/MAX(AI28:AI34)-1,-1%),-1%))</f>
        <v>-0.35564853556485365</v>
      </c>
      <c r="AM35" s="19"/>
      <c r="AO35" s="4">
        <f t="shared" ca="1" si="16"/>
        <v>45580</v>
      </c>
      <c r="AP35">
        <f t="shared" ca="1" si="8"/>
        <v>22</v>
      </c>
      <c r="AQ35" s="1">
        <v>890327.86</v>
      </c>
      <c r="AR35" s="6">
        <v>491.53</v>
      </c>
      <c r="AS35" s="1">
        <v>0</v>
      </c>
      <c r="AT35" s="5">
        <f>Table134111213[[#This Row],[$Return]]/AVERAGE(Table134111213[[#This Row],[Starting]],Table134111213[[#This Row],[Starting]]+Table134111213[[#This Row],[Inflows]])</f>
        <v>5.520775234417577E-4</v>
      </c>
      <c r="AU35" s="2">
        <f t="shared" si="3"/>
        <v>890819.39</v>
      </c>
      <c r="AV35" s="18">
        <f ca="1">IF(Table134111213[[#This Row],[Day]]=1,100,AV34*(1+Table134111213[[#This Row],[Return]]))</f>
        <v>102.49504441371414</v>
      </c>
      <c r="AW35" s="3">
        <f ca="1">EXP(-((30-Table134111213[[#This Row],[Day]])/30))</f>
        <v>0.76592833836464869</v>
      </c>
      <c r="AX35" s="5"/>
      <c r="AY35" s="5">
        <f ca="1">IF(Table134111213[[#This Row],[Day]]&lt;=7,"",MIN(IF(AV35&lt;MAX(AV28:AV34),AV35/MAX(AV28:AV34)-1,-1%),-1%))</f>
        <v>-0.01</v>
      </c>
      <c r="AZ35" s="19"/>
      <c r="BB35" s="4">
        <f t="shared" ca="1" si="17"/>
        <v>45580</v>
      </c>
      <c r="BC35">
        <f t="shared" ca="1" si="9"/>
        <v>22</v>
      </c>
      <c r="BD35" s="1">
        <v>7110132.0099999998</v>
      </c>
      <c r="BE35" s="6">
        <v>14183.38</v>
      </c>
      <c r="BF35" s="1">
        <v>0</v>
      </c>
      <c r="BG35" s="5">
        <f>Table13411121314[[#This Row],[$Return]]/AVERAGE(Table13411121314[[#This Row],[Starting]],Table13411121314[[#This Row],[Starting]]+Table13411121314[[#This Row],[Inflows]])</f>
        <v>1.9948124704368183E-3</v>
      </c>
      <c r="BH35" s="2">
        <f t="shared" si="4"/>
        <v>7124315.3899999997</v>
      </c>
      <c r="BI35" s="18">
        <f ca="1">IF(Table13411121314[[#This Row],[Day]]=1,100,BI34*(1+Table13411121314[[#This Row],[Return]]))</f>
        <v>102.63735687390465</v>
      </c>
      <c r="BJ35" s="3">
        <f ca="1">EXP(-((30-Table13411121314[[#This Row],[Day]])/30))</f>
        <v>0.76592833836464869</v>
      </c>
      <c r="BK35" s="5"/>
      <c r="BL35" s="5">
        <f ca="1">IF(Table13411121314[[#This Row],[Day]]&lt;=7,"",MIN(IF(BI35&lt;MAX(BI28:BI34),BI35/MAX(BI28:BI34)-1,0.5%),-1%))</f>
        <v>-0.01</v>
      </c>
      <c r="BM35" s="19"/>
    </row>
    <row r="36" spans="2:65" x14ac:dyDescent="0.45">
      <c r="B36" s="4">
        <f t="shared" ca="1" si="10"/>
        <v>45581</v>
      </c>
      <c r="C36">
        <f t="shared" ca="1" si="5"/>
        <v>23</v>
      </c>
      <c r="D36" s="1">
        <f t="shared" si="11"/>
        <v>113550</v>
      </c>
      <c r="E36" s="6">
        <v>-8493</v>
      </c>
      <c r="F36" s="1">
        <v>671</v>
      </c>
      <c r="G36" s="5">
        <f>Table1310[[#This Row],[$Return]]/AVERAGE(Table1310[[#This Row],[Starting]],Table1310[[#This Row],[Starting]]+Table1310[[#This Row],[Inflows]])</f>
        <v>-7.4574901984888337E-2</v>
      </c>
      <c r="H36" s="2">
        <f t="shared" si="0"/>
        <v>105728</v>
      </c>
      <c r="I36" s="18">
        <f ca="1">IF(Table1310[[#This Row],[Day]]=1,100,I35*(1+Table1310[[#This Row],[Return]]))</f>
        <v>95.52433162681973</v>
      </c>
      <c r="J36" s="3">
        <f ca="1">EXP(-((30-Table1310[[#This Row],[Day]])/30))</f>
        <v>0.79188956633678165</v>
      </c>
      <c r="K36" s="5"/>
      <c r="L36" s="5">
        <f ca="1">IF(Table1310[[#This Row],[Day]]&lt;=7,"",MIN(IF(I36&lt;MAX(I29:I35),I36/MAX(I29:I35)-1,-1%),-1%))</f>
        <v>-7.4574901984888475E-2</v>
      </c>
      <c r="M36" s="19"/>
      <c r="O36" s="4">
        <f t="shared" ca="1" si="12"/>
        <v>45581</v>
      </c>
      <c r="P36">
        <f t="shared" ca="1" si="6"/>
        <v>23</v>
      </c>
      <c r="Q36" s="1">
        <f t="shared" si="13"/>
        <v>102615</v>
      </c>
      <c r="R36" s="6">
        <v>-620</v>
      </c>
      <c r="S36" s="1">
        <v>0</v>
      </c>
      <c r="T36" s="5">
        <f>Table13411[[#This Row],[$Return]]/AVERAGE(Table13411[[#This Row],[Starting]],Table13411[[#This Row],[Starting]]+Table13411[[#This Row],[Inflows]])</f>
        <v>-6.0420016566778735E-3</v>
      </c>
      <c r="U36" s="2">
        <f t="shared" si="1"/>
        <v>101995</v>
      </c>
      <c r="V36" s="18">
        <f ca="1">IF(Table13411[[#This Row],[Day]]=1,100,V35*(1+Table13411[[#This Row],[Return]]))</f>
        <v>102.25267674539845</v>
      </c>
      <c r="W36" s="3">
        <f ca="1">EXP(-((30-Table13411[[#This Row],[Day]])/30))</f>
        <v>0.79188956633678165</v>
      </c>
      <c r="X36" s="5"/>
      <c r="Y36" s="5">
        <f ca="1">IF(Table13411[[#This Row],[Day]]&lt;=7,"",MIN(IF(V36&lt;MAX(V29:V35),V36/MAX(V29:V35)-1,-1%),-1%))</f>
        <v>-0.01</v>
      </c>
      <c r="Z36" s="19"/>
      <c r="AB36" s="4">
        <f t="shared" ca="1" si="14"/>
        <v>45581</v>
      </c>
      <c r="AC36">
        <f t="shared" ca="1" si="7"/>
        <v>23</v>
      </c>
      <c r="AD36" s="1">
        <f t="shared" si="15"/>
        <v>154000</v>
      </c>
      <c r="AE36" s="6">
        <v>-45000</v>
      </c>
      <c r="AF36" s="1">
        <v>0</v>
      </c>
      <c r="AG36" s="5">
        <f>Table1341112[[#This Row],[$Return]]/AVERAGE(Table1341112[[#This Row],[Starting]],Table1341112[[#This Row],[Starting]]+Table1341112[[#This Row],[Inflows]])</f>
        <v>-0.29220779220779219</v>
      </c>
      <c r="AH36" s="2">
        <f t="shared" si="2"/>
        <v>109000</v>
      </c>
      <c r="AI36" s="18">
        <f ca="1">IF(Table1341112[[#This Row],[Day]]=1,100,AI35*(1+Table1341112[[#This Row],[Return]]))</f>
        <v>83.846153846153854</v>
      </c>
      <c r="AJ36" s="3">
        <f ca="1">EXP(-((30-Table1341112[[#This Row],[Day]])/30))</f>
        <v>0.79188956633678165</v>
      </c>
      <c r="AK36" s="5"/>
      <c r="AL36" s="5">
        <f ca="1">IF(Table1341112[[#This Row],[Day]]&lt;=7,"",MIN(IF(AI36&lt;MAX(AI29:AI35),AI36/MAX(AI29:AI35)-1,-1%),-1%))</f>
        <v>-0.46305418719211822</v>
      </c>
      <c r="AM36" s="19"/>
      <c r="AO36" s="4">
        <f t="shared" ca="1" si="16"/>
        <v>45581</v>
      </c>
      <c r="AP36">
        <f t="shared" ca="1" si="8"/>
        <v>23</v>
      </c>
      <c r="AQ36" s="1">
        <v>888231.6</v>
      </c>
      <c r="AR36" s="6">
        <v>-2096.2600000000002</v>
      </c>
      <c r="AS36" s="1">
        <v>0</v>
      </c>
      <c r="AT36" s="5">
        <f>Table134111213[[#This Row],[$Return]]/AVERAGE(Table134111213[[#This Row],[Starting]],Table134111213[[#This Row],[Starting]]+Table134111213[[#This Row],[Inflows]])</f>
        <v>-2.3600376298253747E-3</v>
      </c>
      <c r="AU36" s="2">
        <f t="shared" si="3"/>
        <v>886135.34</v>
      </c>
      <c r="AV36" s="18">
        <f ca="1">IF(Table134111213[[#This Row],[Day]]=1,100,AV35*(1+Table134111213[[#This Row],[Return]]))</f>
        <v>102.25315225202715</v>
      </c>
      <c r="AW36" s="3">
        <f ca="1">EXP(-((30-Table134111213[[#This Row],[Day]])/30))</f>
        <v>0.79188956633678165</v>
      </c>
      <c r="AX36" s="5"/>
      <c r="AY36" s="5">
        <f ca="1">IF(Table134111213[[#This Row],[Day]]&lt;=7,"",MIN(IF(AV36&lt;MAX(AV29:AV35),AV36/MAX(AV29:AV35)-1,-1%),-1%))</f>
        <v>-1.0916172154002424E-2</v>
      </c>
      <c r="AZ36" s="19"/>
      <c r="BB36" s="4">
        <f t="shared" ca="1" si="17"/>
        <v>45581</v>
      </c>
      <c r="BC36">
        <f t="shared" ca="1" si="9"/>
        <v>23</v>
      </c>
      <c r="BD36" s="1">
        <v>7114567.6699999999</v>
      </c>
      <c r="BE36" s="6">
        <v>4435.6499999999996</v>
      </c>
      <c r="BF36" s="1">
        <v>0</v>
      </c>
      <c r="BG36" s="5">
        <f>Table13411121314[[#This Row],[$Return]]/AVERAGE(Table13411121314[[#This Row],[Starting]],Table13411121314[[#This Row],[Starting]]+Table13411121314[[#This Row],[Inflows]])</f>
        <v>6.2346023057786165E-4</v>
      </c>
      <c r="BH36" s="2">
        <f t="shared" si="4"/>
        <v>7119003.3200000003</v>
      </c>
      <c r="BI36" s="18">
        <f ca="1">IF(Table13411121314[[#This Row],[Day]]=1,100,BI35*(1+Table13411121314[[#This Row],[Return]]))</f>
        <v>102.70134718408717</v>
      </c>
      <c r="BJ36" s="3">
        <f ca="1">EXP(-((30-Table13411121314[[#This Row],[Day]])/30))</f>
        <v>0.79188956633678165</v>
      </c>
      <c r="BK36" s="5"/>
      <c r="BL36" s="5">
        <f ca="1">IF(Table13411121314[[#This Row],[Day]]&lt;=7,"",MIN(IF(BI36&lt;MAX(BI29:BI35),BI36/MAX(BI29:BI35)-1,0.5%),-1%))</f>
        <v>-0.01</v>
      </c>
      <c r="BM36" s="19"/>
    </row>
    <row r="37" spans="2:65" x14ac:dyDescent="0.45">
      <c r="B37" s="4">
        <f t="shared" ca="1" si="10"/>
        <v>45582</v>
      </c>
      <c r="C37">
        <f t="shared" ca="1" si="5"/>
        <v>24</v>
      </c>
      <c r="D37" s="1">
        <f t="shared" si="11"/>
        <v>105728</v>
      </c>
      <c r="E37" s="6">
        <v>1800</v>
      </c>
      <c r="F37" s="1">
        <v>153</v>
      </c>
      <c r="G37" s="5">
        <f>Table1310[[#This Row],[$Return]]/AVERAGE(Table1310[[#This Row],[Starting]],Table1310[[#This Row],[Starting]]+Table1310[[#This Row],[Inflows]])</f>
        <v>1.701250891975294E-2</v>
      </c>
      <c r="H37" s="2">
        <f t="shared" si="0"/>
        <v>107681</v>
      </c>
      <c r="I37" s="18">
        <f ca="1">IF(Table1310[[#This Row],[Day]]=1,100,I36*(1+Table1310[[#This Row],[Return]]))</f>
        <v>97.149440170674453</v>
      </c>
      <c r="J37" s="3">
        <f ca="1">EXP(-((30-Table1310[[#This Row],[Day]])/30))</f>
        <v>0.81873075307798182</v>
      </c>
      <c r="K37" s="5"/>
      <c r="L37" s="5">
        <f ca="1">IF(Table1310[[#This Row],[Day]]&lt;=7,"",MIN(IF(I37&lt;MAX(I30:I36),I37/MAX(I30:I36)-1,-1%),-1%))</f>
        <v>-5.8831099250343022E-2</v>
      </c>
      <c r="M37" s="19"/>
      <c r="O37" s="4">
        <f t="shared" ca="1" si="12"/>
        <v>45582</v>
      </c>
      <c r="P37">
        <f t="shared" ca="1" si="6"/>
        <v>24</v>
      </c>
      <c r="Q37" s="1">
        <f t="shared" si="13"/>
        <v>101995</v>
      </c>
      <c r="R37" s="6">
        <v>666</v>
      </c>
      <c r="S37" s="1">
        <v>0</v>
      </c>
      <c r="T37" s="5">
        <f>Table13411[[#This Row],[$Return]]/AVERAGE(Table13411[[#This Row],[Starting]],Table13411[[#This Row],[Starting]]+Table13411[[#This Row],[Inflows]])</f>
        <v>6.5297318496004703E-3</v>
      </c>
      <c r="U37" s="2">
        <f t="shared" si="1"/>
        <v>102661</v>
      </c>
      <c r="V37" s="18">
        <f ca="1">IF(Table13411[[#This Row],[Day]]=1,100,V36*(1+Table13411[[#This Row],[Return]]))</f>
        <v>102.92035930544978</v>
      </c>
      <c r="W37" s="3">
        <f ca="1">EXP(-((30-Table13411[[#This Row],[Day]])/30))</f>
        <v>0.81873075307798182</v>
      </c>
      <c r="X37" s="5"/>
      <c r="Y37" s="5">
        <f ca="1">IF(Table13411[[#This Row],[Day]]&lt;=7,"",MIN(IF(V37&lt;MAX(V30:V36),V37/MAX(V30:V36)-1,-1%),-1%))</f>
        <v>-0.01</v>
      </c>
      <c r="Z37" s="19"/>
      <c r="AB37" s="4">
        <f t="shared" ca="1" si="14"/>
        <v>45582</v>
      </c>
      <c r="AC37">
        <f t="shared" ca="1" si="7"/>
        <v>24</v>
      </c>
      <c r="AD37" s="1">
        <f t="shared" si="15"/>
        <v>109000</v>
      </c>
      <c r="AE37" s="6">
        <v>35000</v>
      </c>
      <c r="AF37" s="1">
        <v>0</v>
      </c>
      <c r="AG37" s="5">
        <f>Table1341112[[#This Row],[$Return]]/AVERAGE(Table1341112[[#This Row],[Starting]],Table1341112[[#This Row],[Starting]]+Table1341112[[#This Row],[Inflows]])</f>
        <v>0.32110091743119268</v>
      </c>
      <c r="AH37" s="2">
        <f t="shared" si="2"/>
        <v>144000</v>
      </c>
      <c r="AI37" s="18">
        <f ca="1">IF(Table1341112[[#This Row],[Day]]=1,100,AI36*(1+Table1341112[[#This Row],[Return]]))</f>
        <v>110.76923076923079</v>
      </c>
      <c r="AJ37" s="3">
        <f ca="1">EXP(-((30-Table1341112[[#This Row],[Day]])/30))</f>
        <v>0.81873075307798182</v>
      </c>
      <c r="AK37" s="5"/>
      <c r="AL37" s="5">
        <f ca="1">IF(Table1341112[[#This Row],[Day]]&lt;=7,"",MIN(IF(AI37&lt;MAX(AI30:AI36),AI37/MAX(AI30:AI36)-1,-1%),-1%))</f>
        <v>-0.29064039408866982</v>
      </c>
      <c r="AM37" s="19"/>
      <c r="AO37" s="4">
        <f t="shared" ca="1" si="16"/>
        <v>45582</v>
      </c>
      <c r="AP37">
        <f t="shared" ca="1" si="8"/>
        <v>24</v>
      </c>
      <c r="AQ37" s="1">
        <v>890659.69</v>
      </c>
      <c r="AR37" s="6">
        <v>2428.09</v>
      </c>
      <c r="AS37" s="1">
        <v>0</v>
      </c>
      <c r="AT37" s="5">
        <f>Table134111213[[#This Row],[$Return]]/AVERAGE(Table134111213[[#This Row],[Starting]],Table134111213[[#This Row],[Starting]]+Table134111213[[#This Row],[Inflows]])</f>
        <v>2.7261703064163601E-3</v>
      </c>
      <c r="AU37" s="2">
        <f t="shared" si="3"/>
        <v>893087.77999999991</v>
      </c>
      <c r="AV37" s="18">
        <f ca="1">IF(Table134111213[[#This Row],[Day]]=1,100,AV36*(1+Table134111213[[#This Row],[Return]]))</f>
        <v>102.5319117594341</v>
      </c>
      <c r="AW37" s="3">
        <f ca="1">EXP(-((30-Table134111213[[#This Row],[Day]])/30))</f>
        <v>0.81873075307798182</v>
      </c>
      <c r="AX37" s="5"/>
      <c r="AY37" s="5">
        <f ca="1">IF(Table134111213[[#This Row],[Day]]&lt;=7,"",MIN(IF(AV37&lt;MAX(AV30:AV36),AV37/MAX(AV30:AV36)-1,-1%),-1%))</f>
        <v>-0.01</v>
      </c>
      <c r="AZ37" s="19"/>
      <c r="BB37" s="4">
        <f t="shared" ca="1" si="17"/>
        <v>45582</v>
      </c>
      <c r="BC37">
        <f t="shared" ca="1" si="9"/>
        <v>24</v>
      </c>
      <c r="BD37" s="1">
        <v>7130404.3600000003</v>
      </c>
      <c r="BE37" s="6">
        <v>15836.69</v>
      </c>
      <c r="BF37" s="1">
        <v>0</v>
      </c>
      <c r="BG37" s="5">
        <f>Table13411121314[[#This Row],[$Return]]/AVERAGE(Table13411121314[[#This Row],[Starting]],Table13411121314[[#This Row],[Starting]]+Table13411121314[[#This Row],[Inflows]])</f>
        <v>2.2210086834402194E-3</v>
      </c>
      <c r="BH37" s="2">
        <f t="shared" si="4"/>
        <v>7146241.0500000007</v>
      </c>
      <c r="BI37" s="18">
        <f ca="1">IF(Table13411121314[[#This Row],[Day]]=1,100,BI36*(1+Table13411121314[[#This Row],[Return]]))</f>
        <v>102.92944776798403</v>
      </c>
      <c r="BJ37" s="3">
        <f ca="1">EXP(-((30-Table13411121314[[#This Row],[Day]])/30))</f>
        <v>0.81873075307798182</v>
      </c>
      <c r="BK37" s="5"/>
      <c r="BL37" s="5">
        <f ca="1">IF(Table13411121314[[#This Row],[Day]]&lt;=7,"",MIN(IF(BI37&lt;MAX(BI30:BI36),BI37/MAX(BI30:BI36)-1,0.5%),-1%))</f>
        <v>-0.01</v>
      </c>
      <c r="BM37" s="19"/>
    </row>
    <row r="38" spans="2:65" x14ac:dyDescent="0.45">
      <c r="B38" s="4">
        <f t="shared" ca="1" si="10"/>
        <v>45583</v>
      </c>
      <c r="C38">
        <f t="shared" ca="1" si="5"/>
        <v>25</v>
      </c>
      <c r="D38" s="1">
        <f t="shared" si="11"/>
        <v>107681</v>
      </c>
      <c r="E38" s="6">
        <v>418</v>
      </c>
      <c r="F38" s="1">
        <v>380</v>
      </c>
      <c r="G38" s="5">
        <f>Table1310[[#This Row],[$Return]]/AVERAGE(Table1310[[#This Row],[Starting]],Table1310[[#This Row],[Starting]]+Table1310[[#This Row],[Inflows]])</f>
        <v>3.8749988412084806E-3</v>
      </c>
      <c r="H38" s="2">
        <f t="shared" si="0"/>
        <v>108479</v>
      </c>
      <c r="I38" s="18">
        <f ca="1">IF(Table1310[[#This Row],[Day]]=1,100,I37*(1+Table1310[[#This Row],[Return]]))</f>
        <v>97.525894138759881</v>
      </c>
      <c r="J38" s="3">
        <f ca="1">EXP(-((30-Table1310[[#This Row],[Day]])/30))</f>
        <v>0.84648172489061413</v>
      </c>
      <c r="K38" s="5"/>
      <c r="L38" s="5">
        <f ca="1">IF(Table1310[[#This Row],[Day]]&lt;=7,"",MIN(IF(I38&lt;MAX(I31:I37),I38/MAX(I31:I37)-1,-1%),-1%))</f>
        <v>-5.5184070850556433E-2</v>
      </c>
      <c r="M38" s="19"/>
      <c r="O38" s="4">
        <f t="shared" ca="1" si="12"/>
        <v>45583</v>
      </c>
      <c r="P38">
        <f t="shared" ca="1" si="6"/>
        <v>25</v>
      </c>
      <c r="Q38" s="1">
        <f t="shared" si="13"/>
        <v>102661</v>
      </c>
      <c r="R38" s="6">
        <v>-734</v>
      </c>
      <c r="S38" s="1">
        <v>0</v>
      </c>
      <c r="T38" s="5">
        <f>Table13411[[#This Row],[$Return]]/AVERAGE(Table13411[[#This Row],[Starting]],Table13411[[#This Row],[Starting]]+Table13411[[#This Row],[Inflows]])</f>
        <v>-7.1497452781484694E-3</v>
      </c>
      <c r="U38" s="2">
        <f t="shared" si="1"/>
        <v>101927</v>
      </c>
      <c r="V38" s="18">
        <f ca="1">IF(Table13411[[#This Row],[Day]]=1,100,V37*(1+Table13411[[#This Row],[Return]]))</f>
        <v>102.1845049524803</v>
      </c>
      <c r="W38" s="3">
        <f ca="1">EXP(-((30-Table13411[[#This Row],[Day]])/30))</f>
        <v>0.84648172489061413</v>
      </c>
      <c r="X38" s="5"/>
      <c r="Y38" s="5">
        <f ca="1">IF(Table13411[[#This Row],[Day]]&lt;=7,"",MIN(IF(V38&lt;MAX(V31:V37),V38/MAX(V31:V37)-1,-1%),-1%))</f>
        <v>-0.01</v>
      </c>
      <c r="Z38" s="19"/>
      <c r="AB38" s="4">
        <f t="shared" ca="1" si="14"/>
        <v>45583</v>
      </c>
      <c r="AC38">
        <f t="shared" ca="1" si="7"/>
        <v>25</v>
      </c>
      <c r="AD38" s="1">
        <f t="shared" si="15"/>
        <v>144000</v>
      </c>
      <c r="AE38" s="6">
        <v>-52000</v>
      </c>
      <c r="AF38" s="1">
        <v>0</v>
      </c>
      <c r="AG38" s="5">
        <f>Table1341112[[#This Row],[$Return]]/AVERAGE(Table1341112[[#This Row],[Starting]],Table1341112[[#This Row],[Starting]]+Table1341112[[#This Row],[Inflows]])</f>
        <v>-0.3611111111111111</v>
      </c>
      <c r="AH38" s="2">
        <f t="shared" si="2"/>
        <v>92000</v>
      </c>
      <c r="AI38" s="18">
        <f ca="1">IF(Table1341112[[#This Row],[Day]]=1,100,AI37*(1+Table1341112[[#This Row],[Return]]))</f>
        <v>70.769230769230774</v>
      </c>
      <c r="AJ38" s="3">
        <f ca="1">EXP(-((30-Table1341112[[#This Row],[Day]])/30))</f>
        <v>0.84648172489061413</v>
      </c>
      <c r="AK38" s="5"/>
      <c r="AL38" s="5">
        <f ca="1">IF(Table1341112[[#This Row],[Day]]&lt;=7,"",MIN(IF(AI38&lt;MAX(AI31:AI37),AI38/MAX(AI31:AI37)-1,-1%),-1%))</f>
        <v>-0.50670241286863282</v>
      </c>
      <c r="AM38" s="19"/>
      <c r="AO38" s="4">
        <f t="shared" ca="1" si="16"/>
        <v>45583</v>
      </c>
      <c r="AP38">
        <f t="shared" ca="1" si="8"/>
        <v>25</v>
      </c>
      <c r="AQ38" s="1">
        <v>890682.71</v>
      </c>
      <c r="AR38" s="6">
        <v>23.03</v>
      </c>
      <c r="AS38" s="1">
        <v>0</v>
      </c>
      <c r="AT38" s="5">
        <f>Table134111213[[#This Row],[$Return]]/AVERAGE(Table134111213[[#This Row],[Starting]],Table134111213[[#This Row],[Starting]]+Table134111213[[#This Row],[Inflows]])</f>
        <v>2.5856570180867217E-5</v>
      </c>
      <c r="AU38" s="2">
        <f t="shared" si="3"/>
        <v>890705.74</v>
      </c>
      <c r="AV38" s="18">
        <f ca="1">IF(Table134111213[[#This Row],[Day]]=1,100,AV37*(1+Table134111213[[#This Row],[Return]]))</f>
        <v>102.53456288300629</v>
      </c>
      <c r="AW38" s="3">
        <f ca="1">EXP(-((30-Table134111213[[#This Row],[Day]])/30))</f>
        <v>0.84648172489061413</v>
      </c>
      <c r="AX38" s="5"/>
      <c r="AY38" s="5">
        <f ca="1">IF(Table134111213[[#This Row],[Day]]&lt;=7,"",MIN(IF(AV38&lt;MAX(AV31:AV37),AV38/MAX(AV31:AV37)-1,-1%),-1%))</f>
        <v>-0.01</v>
      </c>
      <c r="AZ38" s="19"/>
      <c r="BB38" s="4">
        <f t="shared" ca="1" si="17"/>
        <v>45583</v>
      </c>
      <c r="BC38">
        <f t="shared" ca="1" si="9"/>
        <v>25</v>
      </c>
      <c r="BD38" s="1">
        <v>7131183.96</v>
      </c>
      <c r="BE38" s="6">
        <v>779.6</v>
      </c>
      <c r="BF38" s="1">
        <v>0</v>
      </c>
      <c r="BG38" s="5">
        <f>Table13411121314[[#This Row],[$Return]]/AVERAGE(Table13411121314[[#This Row],[Starting]],Table13411121314[[#This Row],[Starting]]+Table13411121314[[#This Row],[Inflows]])</f>
        <v>1.0932266007620984E-4</v>
      </c>
      <c r="BH38" s="2">
        <f t="shared" si="4"/>
        <v>7131963.5599999996</v>
      </c>
      <c r="BI38" s="18">
        <f ca="1">IF(Table13411121314[[#This Row],[Day]]=1,100,BI37*(1+Table13411121314[[#This Row],[Return]]))</f>
        <v>102.94070028901419</v>
      </c>
      <c r="BJ38" s="3">
        <f ca="1">EXP(-((30-Table13411121314[[#This Row],[Day]])/30))</f>
        <v>0.84648172489061413</v>
      </c>
      <c r="BK38" s="5"/>
      <c r="BL38" s="5">
        <f ca="1">IF(Table13411121314[[#This Row],[Day]]&lt;=7,"",MIN(IF(BI38&lt;MAX(BI31:BI37),BI38/MAX(BI31:BI37)-1,0.5%),-1%))</f>
        <v>-0.01</v>
      </c>
      <c r="BM38" s="19"/>
    </row>
    <row r="39" spans="2:65" x14ac:dyDescent="0.45">
      <c r="B39" s="4">
        <f t="shared" ca="1" si="10"/>
        <v>45584</v>
      </c>
      <c r="C39">
        <f t="shared" ca="1" si="5"/>
        <v>26</v>
      </c>
      <c r="D39" s="1">
        <f t="shared" si="11"/>
        <v>108479</v>
      </c>
      <c r="E39" s="6">
        <v>1492</v>
      </c>
      <c r="F39" s="1">
        <v>513</v>
      </c>
      <c r="G39" s="5">
        <f>Table1310[[#This Row],[$Return]]/AVERAGE(Table1310[[#This Row],[Starting]],Table1310[[#This Row],[Starting]]+Table1310[[#This Row],[Inflows]])</f>
        <v>1.3721369745851171E-2</v>
      </c>
      <c r="H39" s="2">
        <f t="shared" si="0"/>
        <v>110484</v>
      </c>
      <c r="I39" s="18">
        <f ca="1">IF(Table1310[[#This Row],[Day]]=1,100,I38*(1+Table1310[[#This Row],[Return]]))</f>
        <v>98.864082992032536</v>
      </c>
      <c r="J39" s="3">
        <f ca="1">EXP(-((30-Table1310[[#This Row],[Day]])/30))</f>
        <v>0.87517331904294748</v>
      </c>
      <c r="K39" s="5"/>
      <c r="L39" s="5">
        <f ca="1">IF(Table1310[[#This Row],[Day]]&lt;=7,"",MIN(IF(I39&lt;MAX(I32:I38),I39/MAX(I32:I38)-1,-1%),-1%))</f>
        <v>-4.2219902144927102E-2</v>
      </c>
      <c r="M39" s="19"/>
      <c r="O39" s="4">
        <f t="shared" ca="1" si="12"/>
        <v>45584</v>
      </c>
      <c r="P39">
        <f t="shared" ca="1" si="6"/>
        <v>26</v>
      </c>
      <c r="Q39" s="1">
        <f t="shared" si="13"/>
        <v>101927</v>
      </c>
      <c r="R39" s="6">
        <v>957</v>
      </c>
      <c r="S39" s="1">
        <v>0</v>
      </c>
      <c r="T39" s="5">
        <f>Table13411[[#This Row],[$Return]]/AVERAGE(Table13411[[#This Row],[Starting]],Table13411[[#This Row],[Starting]]+Table13411[[#This Row],[Inflows]])</f>
        <v>9.3890725715463034E-3</v>
      </c>
      <c r="U39" s="2">
        <f t="shared" si="1"/>
        <v>102884</v>
      </c>
      <c r="V39" s="18">
        <f ca="1">IF(Table13411[[#This Row],[Day]]=1,100,V38*(1+Table13411[[#This Row],[Return]]))</f>
        <v>103.14392268516666</v>
      </c>
      <c r="W39" s="3">
        <f ca="1">EXP(-((30-Table13411[[#This Row],[Day]])/30))</f>
        <v>0.87517331904294748</v>
      </c>
      <c r="X39" s="5"/>
      <c r="Y39" s="5">
        <f ca="1">IF(Table13411[[#This Row],[Day]]&lt;=7,"",MIN(IF(V39&lt;MAX(V32:V38),V39/MAX(V32:V38)-1,-1%),-1%))</f>
        <v>-0.01</v>
      </c>
      <c r="Z39" s="19"/>
      <c r="AB39" s="4">
        <f t="shared" ca="1" si="14"/>
        <v>45584</v>
      </c>
      <c r="AC39">
        <f t="shared" ca="1" si="7"/>
        <v>26</v>
      </c>
      <c r="AD39" s="1">
        <f t="shared" si="15"/>
        <v>92000</v>
      </c>
      <c r="AE39" s="6">
        <v>65000</v>
      </c>
      <c r="AF39" s="1">
        <v>0</v>
      </c>
      <c r="AG39" s="5">
        <f>Table1341112[[#This Row],[$Return]]/AVERAGE(Table1341112[[#This Row],[Starting]],Table1341112[[#This Row],[Starting]]+Table1341112[[#This Row],[Inflows]])</f>
        <v>0.70652173913043481</v>
      </c>
      <c r="AH39" s="2">
        <f t="shared" si="2"/>
        <v>157000</v>
      </c>
      <c r="AI39" s="18">
        <f ca="1">IF(Table1341112[[#This Row],[Day]]=1,100,AI38*(1+Table1341112[[#This Row],[Return]]))</f>
        <v>120.76923076923077</v>
      </c>
      <c r="AJ39" s="3">
        <f ca="1">EXP(-((30-Table1341112[[#This Row],[Day]])/30))</f>
        <v>0.87517331904294748</v>
      </c>
      <c r="AK39" s="5"/>
      <c r="AL39" s="5">
        <f ca="1">IF(Table1341112[[#This Row],[Day]]&lt;=7,"",MIN(IF(AI39&lt;MAX(AI32:AI38),AI39/MAX(AI32:AI38)-1,-1%),-1%))</f>
        <v>-0.15817694369973201</v>
      </c>
      <c r="AM39" s="19"/>
      <c r="AO39" s="4">
        <f t="shared" ca="1" si="16"/>
        <v>45584</v>
      </c>
      <c r="AP39">
        <f t="shared" ca="1" si="8"/>
        <v>26</v>
      </c>
      <c r="AQ39" s="1">
        <v>890200.99</v>
      </c>
      <c r="AR39" s="6">
        <v>-481.73</v>
      </c>
      <c r="AS39" s="1">
        <v>0</v>
      </c>
      <c r="AT39" s="5">
        <f>Table134111213[[#This Row],[$Return]]/AVERAGE(Table134111213[[#This Row],[Starting]],Table134111213[[#This Row],[Starting]]+Table134111213[[#This Row],[Inflows]])</f>
        <v>-5.4114745480119048E-4</v>
      </c>
      <c r="AU39" s="2">
        <f t="shared" si="3"/>
        <v>889719.26</v>
      </c>
      <c r="AV39" s="18">
        <f ca="1">IF(Table134111213[[#This Row],[Day]]=1,100,AV38*(1+Table134111213[[#This Row],[Return]]))</f>
        <v>102.479076565273</v>
      </c>
      <c r="AW39" s="3">
        <f ca="1">EXP(-((30-Table134111213[[#This Row],[Day]])/30))</f>
        <v>0.87517331904294748</v>
      </c>
      <c r="AX39" s="5"/>
      <c r="AY39" s="5">
        <f ca="1">IF(Table134111213[[#This Row],[Day]]&lt;=7,"",MIN(IF(AV39&lt;MAX(AV32:AV38),AV39/MAX(AV32:AV38)-1,-1%),-1%))</f>
        <v>-0.01</v>
      </c>
      <c r="AZ39" s="19"/>
      <c r="BB39" s="4">
        <f t="shared" ca="1" si="17"/>
        <v>45584</v>
      </c>
      <c r="BC39">
        <f t="shared" ca="1" si="9"/>
        <v>26</v>
      </c>
      <c r="BD39" s="1">
        <v>7160323.9100000001</v>
      </c>
      <c r="BE39" s="6">
        <v>29139.96</v>
      </c>
      <c r="BF39" s="1">
        <v>0</v>
      </c>
      <c r="BG39" s="5">
        <f>Table13411121314[[#This Row],[$Return]]/AVERAGE(Table13411121314[[#This Row],[Starting]],Table13411121314[[#This Row],[Starting]]+Table13411121314[[#This Row],[Inflows]])</f>
        <v>4.0696427097807082E-3</v>
      </c>
      <c r="BH39" s="2">
        <f t="shared" si="4"/>
        <v>7189463.8700000001</v>
      </c>
      <c r="BI39" s="18">
        <f ca="1">IF(Table13411121314[[#This Row],[Day]]=1,100,BI38*(1+Table13411121314[[#This Row],[Return]]))</f>
        <v>103.35963215948509</v>
      </c>
      <c r="BJ39" s="3">
        <f ca="1">EXP(-((30-Table13411121314[[#This Row],[Day]])/30))</f>
        <v>0.87517331904294748</v>
      </c>
      <c r="BK39" s="5"/>
      <c r="BL39" s="5">
        <f ca="1">IF(Table13411121314[[#This Row],[Day]]&lt;=7,"",MIN(IF(BI39&lt;MAX(BI32:BI38),BI39/MAX(BI32:BI38)-1,0.5%),-1%))</f>
        <v>-0.01</v>
      </c>
      <c r="BM39" s="19"/>
    </row>
    <row r="40" spans="2:65" x14ac:dyDescent="0.45">
      <c r="B40" s="4">
        <f t="shared" ca="1" si="10"/>
        <v>45585</v>
      </c>
      <c r="C40">
        <f t="shared" ca="1" si="5"/>
        <v>27</v>
      </c>
      <c r="D40" s="1">
        <f t="shared" si="11"/>
        <v>110484</v>
      </c>
      <c r="E40" s="6">
        <v>-3994</v>
      </c>
      <c r="F40" s="1">
        <v>197</v>
      </c>
      <c r="G40" s="5">
        <f>Table1310[[#This Row],[$Return]]/AVERAGE(Table1310[[#This Row],[Starting]],Table1310[[#This Row],[Starting]]+Table1310[[#This Row],[Inflows]])</f>
        <v>-3.6117830578979493E-2</v>
      </c>
      <c r="H40" s="2">
        <f t="shared" si="0"/>
        <v>106687</v>
      </c>
      <c r="I40" s="18">
        <f ca="1">IF(Table1310[[#This Row],[Day]]=1,100,I39*(1+Table1310[[#This Row],[Return]]))</f>
        <v>95.293326792180125</v>
      </c>
      <c r="J40" s="3">
        <f ca="1">EXP(-((30-Table1310[[#This Row],[Day]])/30))</f>
        <v>0.90483741803595952</v>
      </c>
      <c r="K40" s="5"/>
      <c r="L40" s="5">
        <f ca="1">IF(Table1310[[#This Row],[Day]]&lt;=7,"",MIN(IF(I40&lt;MAX(I33:I39),I40/MAX(I33:I39)-1,-1%),-1%))</f>
        <v>-7.6812841451175173E-2</v>
      </c>
      <c r="M40" s="19"/>
      <c r="O40" s="4">
        <f t="shared" ca="1" si="12"/>
        <v>45585</v>
      </c>
      <c r="P40">
        <f t="shared" ca="1" si="6"/>
        <v>27</v>
      </c>
      <c r="Q40" s="1">
        <f t="shared" si="13"/>
        <v>102884</v>
      </c>
      <c r="R40" s="6">
        <v>185</v>
      </c>
      <c r="S40" s="1">
        <v>0</v>
      </c>
      <c r="T40" s="5">
        <f>Table13411[[#This Row],[$Return]]/AVERAGE(Table13411[[#This Row],[Starting]],Table13411[[#This Row],[Starting]]+Table13411[[#This Row],[Inflows]])</f>
        <v>1.7981415963609503E-3</v>
      </c>
      <c r="U40" s="2">
        <f t="shared" si="1"/>
        <v>103069</v>
      </c>
      <c r="V40" s="18">
        <f ca="1">IF(Table13411[[#This Row],[Day]]=1,100,V39*(1+Table13411[[#This Row],[Return]]))</f>
        <v>103.32939006295871</v>
      </c>
      <c r="W40" s="3">
        <f ca="1">EXP(-((30-Table13411[[#This Row],[Day]])/30))</f>
        <v>0.90483741803595952</v>
      </c>
      <c r="X40" s="5"/>
      <c r="Y40" s="5">
        <f ca="1">IF(Table13411[[#This Row],[Day]]&lt;=7,"",MIN(IF(V40&lt;MAX(V33:V39),V40/MAX(V33:V39)-1,-1%),-1%))</f>
        <v>-0.01</v>
      </c>
      <c r="Z40" s="19"/>
      <c r="AB40" s="4">
        <f t="shared" ca="1" si="14"/>
        <v>45585</v>
      </c>
      <c r="AC40">
        <f t="shared" ca="1" si="7"/>
        <v>27</v>
      </c>
      <c r="AD40" s="1">
        <f t="shared" si="15"/>
        <v>157000</v>
      </c>
      <c r="AE40" s="6">
        <v>-40000</v>
      </c>
      <c r="AF40" s="1">
        <v>0</v>
      </c>
      <c r="AG40" s="5">
        <f>Table1341112[[#This Row],[$Return]]/AVERAGE(Table1341112[[#This Row],[Starting]],Table1341112[[#This Row],[Starting]]+Table1341112[[#This Row],[Inflows]])</f>
        <v>-0.25477707006369427</v>
      </c>
      <c r="AH40" s="2">
        <f t="shared" si="2"/>
        <v>117000</v>
      </c>
      <c r="AI40" s="18">
        <f ca="1">IF(Table1341112[[#This Row],[Day]]=1,100,AI39*(1+Table1341112[[#This Row],[Return]]))</f>
        <v>90.000000000000014</v>
      </c>
      <c r="AJ40" s="3">
        <f ca="1">EXP(-((30-Table1341112[[#This Row],[Day]])/30))</f>
        <v>0.90483741803595952</v>
      </c>
      <c r="AK40" s="5"/>
      <c r="AL40" s="5">
        <f ca="1">IF(Table1341112[[#This Row],[Day]]&lt;=7,"",MIN(IF(AI40&lt;MAX(AI33:AI39),AI40/MAX(AI33:AI39)-1,-1%),-1%))</f>
        <v>-0.26645768025078365</v>
      </c>
      <c r="AM40" s="19"/>
      <c r="AO40" s="4">
        <f t="shared" ca="1" si="16"/>
        <v>45585</v>
      </c>
      <c r="AP40">
        <f t="shared" ca="1" si="8"/>
        <v>27</v>
      </c>
      <c r="AQ40" s="1">
        <v>889031.92</v>
      </c>
      <c r="AR40" s="6">
        <v>-1169.06</v>
      </c>
      <c r="AS40" s="1">
        <v>28146.09</v>
      </c>
      <c r="AT40" s="5">
        <f>Table134111213[[#This Row],[$Return]]/AVERAGE(Table134111213[[#This Row],[Starting]],Table134111213[[#This Row],[Starting]]+Table134111213[[#This Row],[Inflows]])</f>
        <v>-1.2944896167191371E-3</v>
      </c>
      <c r="AU40" s="2">
        <f t="shared" si="3"/>
        <v>916008.95</v>
      </c>
      <c r="AV40" s="18">
        <f ca="1">IF(Table134111213[[#This Row],[Day]]=1,100,AV39*(1+Table134111213[[#This Row],[Return]]))</f>
        <v>102.34641846472829</v>
      </c>
      <c r="AW40" s="3">
        <f ca="1">EXP(-((30-Table134111213[[#This Row],[Day]])/30))</f>
        <v>0.90483741803595952</v>
      </c>
      <c r="AX40" s="5"/>
      <c r="AY40" s="5">
        <f ca="1">IF(Table134111213[[#This Row],[Day]]&lt;=7,"",MIN(IF(AV40&lt;MAX(AV33:AV39),AV40/MAX(AV33:AV39)-1,-1%),-1%))</f>
        <v>-0.01</v>
      </c>
      <c r="AZ40" s="19"/>
      <c r="BB40" s="4">
        <f t="shared" ca="1" si="17"/>
        <v>45585</v>
      </c>
      <c r="BC40">
        <f t="shared" ca="1" si="9"/>
        <v>27</v>
      </c>
      <c r="BD40" s="1">
        <v>7212075.4100000001</v>
      </c>
      <c r="BE40" s="6">
        <v>51751.5</v>
      </c>
      <c r="BF40" s="1">
        <v>0</v>
      </c>
      <c r="BG40" s="5">
        <f>Table13411121314[[#This Row],[$Return]]/AVERAGE(Table13411121314[[#This Row],[Starting]],Table13411121314[[#This Row],[Starting]]+Table13411121314[[#This Row],[Inflows]])</f>
        <v>7.1756737219141192E-3</v>
      </c>
      <c r="BH40" s="2">
        <f t="shared" si="4"/>
        <v>7263826.9100000001</v>
      </c>
      <c r="BI40" s="18">
        <f ca="1">IF(Table13411121314[[#This Row],[Day]]=1,100,BI39*(1+Table13411121314[[#This Row],[Return]]))</f>
        <v>104.10130715587862</v>
      </c>
      <c r="BJ40" s="3">
        <f ca="1">EXP(-((30-Table13411121314[[#This Row],[Day]])/30))</f>
        <v>0.90483741803595952</v>
      </c>
      <c r="BK40" s="5"/>
      <c r="BL40" s="5">
        <f ca="1">IF(Table13411121314[[#This Row],[Day]]&lt;=7,"",MIN(IF(BI40&lt;MAX(BI33:BI39),BI40/MAX(BI33:BI39)-1,0.5%),-1%))</f>
        <v>-0.01</v>
      </c>
      <c r="BM40" s="19"/>
    </row>
    <row r="41" spans="2:65" x14ac:dyDescent="0.45">
      <c r="B41" s="4">
        <f t="shared" ca="1" si="10"/>
        <v>45586</v>
      </c>
      <c r="C41">
        <f t="shared" ca="1" si="5"/>
        <v>28</v>
      </c>
      <c r="D41" s="1">
        <f t="shared" si="11"/>
        <v>106687</v>
      </c>
      <c r="E41" s="6">
        <v>2985</v>
      </c>
      <c r="F41" s="1">
        <v>487</v>
      </c>
      <c r="G41" s="5">
        <f>Table1310[[#This Row],[$Return]]/AVERAGE(Table1310[[#This Row],[Starting]],Table1310[[#This Row],[Starting]]+Table1310[[#This Row],[Inflows]])</f>
        <v>2.7915328180453659E-2</v>
      </c>
      <c r="H41" s="2">
        <f>D41+E41+F41</f>
        <v>110159</v>
      </c>
      <c r="I41" s="18">
        <f ca="1">IF(Table1310[[#This Row],[Day]]=1,100,I40*(1+Table1310[[#This Row],[Return]]))</f>
        <v>97.953471282991046</v>
      </c>
      <c r="J41" s="3">
        <f ca="1">EXP(-((30-Table1310[[#This Row],[Day]])/30))</f>
        <v>0.93550698503161778</v>
      </c>
      <c r="K41" s="5"/>
      <c r="L41" s="5">
        <f ca="1">IF(Table1310[[#This Row],[Day]]&lt;=7,"",MIN(IF(I41&lt;MAX(I34:I40),I41/MAX(I34:I40)-1,-1%),-1%))</f>
        <v>-5.1041768948304256E-2</v>
      </c>
      <c r="M41" s="19"/>
      <c r="O41" s="4">
        <f t="shared" ca="1" si="12"/>
        <v>45586</v>
      </c>
      <c r="P41">
        <f t="shared" ca="1" si="6"/>
        <v>28</v>
      </c>
      <c r="Q41" s="1">
        <f t="shared" si="13"/>
        <v>103069</v>
      </c>
      <c r="R41" s="6">
        <v>878</v>
      </c>
      <c r="S41" s="1">
        <v>0</v>
      </c>
      <c r="T41" s="5">
        <f>Table13411[[#This Row],[$Return]]/AVERAGE(Table13411[[#This Row],[Starting]],Table13411[[#This Row],[Starting]]+Table13411[[#This Row],[Inflows]])</f>
        <v>8.5185652329992523E-3</v>
      </c>
      <c r="U41" s="2">
        <f t="shared" si="1"/>
        <v>103947</v>
      </c>
      <c r="V41" s="18">
        <f ca="1">IF(Table13411[[#This Row],[Day]]=1,100,V40*(1+Table13411[[#This Row],[Return]]))</f>
        <v>104.20960821269605</v>
      </c>
      <c r="W41" s="3">
        <f ca="1">EXP(-((30-Table13411[[#This Row],[Day]])/30))</f>
        <v>0.93550698503161778</v>
      </c>
      <c r="X41" s="5"/>
      <c r="Y41" s="5">
        <f ca="1">IF(Table13411[[#This Row],[Day]]&lt;=7,"",MIN(IF(V41&lt;MAX(V34:V40),V41/MAX(V34:V40)-1,-1%),-1%))</f>
        <v>-0.01</v>
      </c>
      <c r="Z41" s="19"/>
      <c r="AB41" s="4">
        <f t="shared" ca="1" si="14"/>
        <v>45586</v>
      </c>
      <c r="AC41">
        <f t="shared" ca="1" si="7"/>
        <v>28</v>
      </c>
      <c r="AD41" s="1">
        <f t="shared" si="15"/>
        <v>117000</v>
      </c>
      <c r="AE41" s="6">
        <v>25000</v>
      </c>
      <c r="AF41" s="1">
        <v>0</v>
      </c>
      <c r="AG41" s="5">
        <f>Table1341112[[#This Row],[$Return]]/AVERAGE(Table1341112[[#This Row],[Starting]],Table1341112[[#This Row],[Starting]]+Table1341112[[#This Row],[Inflows]])</f>
        <v>0.21367521367521367</v>
      </c>
      <c r="AH41" s="2">
        <f t="shared" si="2"/>
        <v>142000</v>
      </c>
      <c r="AI41" s="18">
        <f ca="1">IF(Table1341112[[#This Row],[Day]]=1,100,AI40*(1+Table1341112[[#This Row],[Return]]))</f>
        <v>109.23076923076924</v>
      </c>
      <c r="AJ41" s="3">
        <f ca="1">EXP(-((30-Table1341112[[#This Row],[Day]])/30))</f>
        <v>0.93550698503161778</v>
      </c>
      <c r="AK41" s="5"/>
      <c r="AL41" s="5">
        <f ca="1">IF(Table1341112[[#This Row],[Day]]&lt;=7,"",MIN(IF(AI41&lt;MAX(AI34:AI40),AI41/MAX(AI34:AI40)-1,-1%),-1%))</f>
        <v>-9.5541401273885329E-2</v>
      </c>
      <c r="AM41" s="19"/>
      <c r="AO41" s="4">
        <f t="shared" ca="1" si="16"/>
        <v>45586</v>
      </c>
      <c r="AP41">
        <f t="shared" ca="1" si="8"/>
        <v>28</v>
      </c>
      <c r="AQ41" s="1">
        <v>916947.45</v>
      </c>
      <c r="AR41" s="6">
        <v>-230.56</v>
      </c>
      <c r="AS41" s="1">
        <v>0</v>
      </c>
      <c r="AT41" s="5">
        <f>Table134111213[[#This Row],[$Return]]/AVERAGE(Table134111213[[#This Row],[Starting]],Table134111213[[#This Row],[Starting]]+Table134111213[[#This Row],[Inflows]])</f>
        <v>-2.5144298072915739E-4</v>
      </c>
      <c r="AU41" s="2">
        <f t="shared" si="3"/>
        <v>916716.8899999999</v>
      </c>
      <c r="AV41" s="18">
        <f ca="1">IF(Table134111213[[#This Row],[Day]]=1,100,AV40*(1+Table134111213[[#This Row],[Return]]))</f>
        <v>102.32068417620256</v>
      </c>
      <c r="AW41" s="3">
        <f ca="1">EXP(-((30-Table134111213[[#This Row],[Day]])/30))</f>
        <v>0.93550698503161778</v>
      </c>
      <c r="AX41" s="5"/>
      <c r="AY41" s="5">
        <f ca="1">IF(Table134111213[[#This Row],[Day]]&lt;=7,"",MIN(IF(AV41&lt;MAX(AV34:AV40),AV41/MAX(AV34:AV40)-1,-1%),-1%))</f>
        <v>-0.01</v>
      </c>
      <c r="AZ41" s="19"/>
      <c r="BB41" s="4">
        <f t="shared" ca="1" si="17"/>
        <v>45586</v>
      </c>
      <c r="BC41">
        <f t="shared" ca="1" si="9"/>
        <v>28</v>
      </c>
      <c r="BD41" s="1">
        <v>7219520.9199999999</v>
      </c>
      <c r="BE41" s="6">
        <v>7445.51</v>
      </c>
      <c r="BF41" s="1">
        <v>0</v>
      </c>
      <c r="BG41" s="5">
        <f>Table13411121314[[#This Row],[$Return]]/AVERAGE(Table13411121314[[#This Row],[Starting]],Table13411121314[[#This Row],[Starting]]+Table13411121314[[#This Row],[Inflows]])</f>
        <v>1.0313025036569879E-3</v>
      </c>
      <c r="BH41" s="2">
        <f t="shared" si="4"/>
        <v>7226966.4299999997</v>
      </c>
      <c r="BI41" s="18">
        <f ca="1">IF(Table13411121314[[#This Row],[Day]]=1,100,BI40*(1+Table13411121314[[#This Row],[Return]]))</f>
        <v>104.20866709458244</v>
      </c>
      <c r="BJ41" s="3">
        <f ca="1">EXP(-((30-Table13411121314[[#This Row],[Day]])/30))</f>
        <v>0.93550698503161778</v>
      </c>
      <c r="BK41" s="5"/>
      <c r="BL41" s="5">
        <f ca="1">IF(Table13411121314[[#This Row],[Day]]&lt;=7,"",MIN(IF(BI41&lt;MAX(BI34:BI40),BI41/MAX(BI34:BI40)-1,0.5%),-1%))</f>
        <v>-0.01</v>
      </c>
      <c r="BM41" s="19"/>
    </row>
    <row r="42" spans="2:65" x14ac:dyDescent="0.45">
      <c r="B42" s="4">
        <f t="shared" ca="1" si="10"/>
        <v>45587</v>
      </c>
      <c r="C42">
        <f t="shared" ca="1" si="5"/>
        <v>29</v>
      </c>
      <c r="D42" s="1">
        <f t="shared" si="11"/>
        <v>110159</v>
      </c>
      <c r="E42" s="6">
        <v>1404</v>
      </c>
      <c r="F42" s="1">
        <v>53</v>
      </c>
      <c r="G42" s="5">
        <f>Table1310[[#This Row],[$Return]]/AVERAGE(Table1310[[#This Row],[Starting]],Table1310[[#This Row],[Starting]]+Table1310[[#This Row],[Inflows]])</f>
        <v>1.2742148467811101E-2</v>
      </c>
      <c r="H42" s="2">
        <f t="shared" si="0"/>
        <v>111616</v>
      </c>
      <c r="I42" s="18">
        <f ca="1">IF(Table1310[[#This Row],[Day]]=1,100,I41*(1+Table1310[[#This Row],[Return]]))</f>
        <v>99.201608957016404</v>
      </c>
      <c r="J42" s="3">
        <f ca="1">EXP(-((30-Table1310[[#This Row],[Day]])/30))</f>
        <v>0.9672161004820059</v>
      </c>
      <c r="K42" s="5"/>
      <c r="L42" s="5">
        <f ca="1">IF(Table1310[[#This Row],[Day]]&lt;=7,"",MIN(IF(I42&lt;MAX(I35:I41),I42/MAX(I35:I41)-1,-1%),-1%))</f>
        <v>-3.8950002278491991E-2</v>
      </c>
      <c r="M42" s="19"/>
      <c r="O42" s="4">
        <f t="shared" ca="1" si="12"/>
        <v>45587</v>
      </c>
      <c r="P42">
        <f t="shared" ca="1" si="6"/>
        <v>29</v>
      </c>
      <c r="Q42" s="1">
        <f t="shared" si="13"/>
        <v>103947</v>
      </c>
      <c r="R42" s="6">
        <v>-32</v>
      </c>
      <c r="S42" s="1">
        <v>0</v>
      </c>
      <c r="T42" s="5">
        <f>Table13411[[#This Row],[$Return]]/AVERAGE(Table13411[[#This Row],[Starting]],Table13411[[#This Row],[Starting]]+Table13411[[#This Row],[Inflows]])</f>
        <v>-3.0784919237688435E-4</v>
      </c>
      <c r="U42" s="2">
        <f t="shared" si="1"/>
        <v>103915</v>
      </c>
      <c r="V42" s="18">
        <f ca="1">IF(Table13411[[#This Row],[Day]]=1,100,V41*(1+Table13411[[#This Row],[Return]]))</f>
        <v>104.17752736896986</v>
      </c>
      <c r="W42" s="3">
        <f ca="1">EXP(-((30-Table13411[[#This Row],[Day]])/30))</f>
        <v>0.9672161004820059</v>
      </c>
      <c r="X42" s="5"/>
      <c r="Y42" s="5">
        <f ca="1">IF(Table13411[[#This Row],[Day]]&lt;=7,"",MIN(IF(V42&lt;MAX(V35:V41),V42/MAX(V35:V41)-1,-1%),-1%))</f>
        <v>-0.01</v>
      </c>
      <c r="Z42" s="19"/>
      <c r="AB42" s="4">
        <f t="shared" ca="1" si="14"/>
        <v>45587</v>
      </c>
      <c r="AC42">
        <f t="shared" ca="1" si="7"/>
        <v>29</v>
      </c>
      <c r="AD42" s="1">
        <f t="shared" si="15"/>
        <v>142000</v>
      </c>
      <c r="AE42" s="6">
        <v>-17000</v>
      </c>
      <c r="AF42" s="1">
        <v>0</v>
      </c>
      <c r="AG42" s="5">
        <f>Table1341112[[#This Row],[$Return]]/AVERAGE(Table1341112[[#This Row],[Starting]],Table1341112[[#This Row],[Starting]]+Table1341112[[#This Row],[Inflows]])</f>
        <v>-0.11971830985915492</v>
      </c>
      <c r="AH42" s="2">
        <f t="shared" si="2"/>
        <v>125000</v>
      </c>
      <c r="AI42" s="18">
        <f ca="1">IF(Table1341112[[#This Row],[Day]]=1,100,AI41*(1+Table1341112[[#This Row],[Return]]))</f>
        <v>96.153846153846175</v>
      </c>
      <c r="AJ42" s="3">
        <f ca="1">EXP(-((30-Table1341112[[#This Row],[Day]])/30))</f>
        <v>0.9672161004820059</v>
      </c>
      <c r="AK42" s="5"/>
      <c r="AL42" s="5">
        <f ca="1">IF(Table1341112[[#This Row],[Day]]&lt;=7,"",MIN(IF(AI42&lt;MAX(AI35:AI41),AI42/MAX(AI35:AI41)-1,-1%),-1%))</f>
        <v>-0.20382165605095526</v>
      </c>
      <c r="AM42" s="19"/>
      <c r="AO42" s="4">
        <f t="shared" ca="1" si="16"/>
        <v>45587</v>
      </c>
      <c r="AP42">
        <f t="shared" ca="1" si="8"/>
        <v>29</v>
      </c>
      <c r="AQ42" s="1">
        <v>919569.69</v>
      </c>
      <c r="AR42" s="6">
        <v>2622.24</v>
      </c>
      <c r="AS42" s="1">
        <v>0</v>
      </c>
      <c r="AT42" s="5">
        <f>Table134111213[[#This Row],[$Return]]/AVERAGE(Table134111213[[#This Row],[Starting]],Table134111213[[#This Row],[Starting]]+Table134111213[[#This Row],[Inflows]])</f>
        <v>2.851594640967342E-3</v>
      </c>
      <c r="AU42" s="2">
        <f t="shared" si="3"/>
        <v>922191.92999999993</v>
      </c>
      <c r="AV42" s="18">
        <f ca="1">IF(Table134111213[[#This Row],[Day]]=1,100,AV41*(1+Table134111213[[#This Row],[Return]]))</f>
        <v>102.61246129085953</v>
      </c>
      <c r="AW42" s="3">
        <f ca="1">EXP(-((30-Table134111213[[#This Row],[Day]])/30))</f>
        <v>0.9672161004820059</v>
      </c>
      <c r="AX42" s="5"/>
      <c r="AY42" s="5">
        <f ca="1">IF(Table134111213[[#This Row],[Day]]&lt;=7,"",MIN(IF(AV42&lt;MAX(AV35:AV41),AV42/MAX(AV35:AV41)-1,-1%),-1%))</f>
        <v>-0.01</v>
      </c>
      <c r="AZ42" s="19"/>
      <c r="BB42" s="4">
        <f t="shared" ca="1" si="17"/>
        <v>45587</v>
      </c>
      <c r="BC42">
        <f t="shared" ca="1" si="9"/>
        <v>29</v>
      </c>
      <c r="BD42" s="1">
        <v>7220945.1399999997</v>
      </c>
      <c r="BE42" s="6">
        <v>1424.22</v>
      </c>
      <c r="BF42" s="1">
        <v>0</v>
      </c>
      <c r="BG42" s="5">
        <f>Table13411121314[[#This Row],[$Return]]/AVERAGE(Table13411121314[[#This Row],[Starting]],Table13411121314[[#This Row],[Starting]]+Table13411121314[[#This Row],[Inflows]])</f>
        <v>1.9723456865924896E-4</v>
      </c>
      <c r="BH42" s="2">
        <f t="shared" si="4"/>
        <v>7222369.3599999994</v>
      </c>
      <c r="BI42" s="18">
        <f ca="1">IF(Table13411121314[[#This Row],[Day]]=1,100,BI41*(1+Table13411121314[[#This Row],[Return]]))</f>
        <v>104.22922064608738</v>
      </c>
      <c r="BJ42" s="3">
        <f ca="1">EXP(-((30-Table13411121314[[#This Row],[Day]])/30))</f>
        <v>0.9672161004820059</v>
      </c>
      <c r="BK42" s="5"/>
      <c r="BL42" s="5">
        <f ca="1">IF(Table13411121314[[#This Row],[Day]]&lt;=7,"",MIN(IF(BI42&lt;MAX(BI35:BI41),BI42/MAX(BI35:BI41)-1,0.5%),-1%))</f>
        <v>-0.01</v>
      </c>
      <c r="BM42" s="19"/>
    </row>
    <row r="43" spans="2:65" x14ac:dyDescent="0.45">
      <c r="B43" s="4">
        <f t="shared" ca="1" si="10"/>
        <v>45588</v>
      </c>
      <c r="C43">
        <f t="shared" ca="1" si="5"/>
        <v>30</v>
      </c>
      <c r="D43" s="1">
        <f t="shared" si="11"/>
        <v>111616</v>
      </c>
      <c r="E43" s="6">
        <v>2048</v>
      </c>
      <c r="F43" s="1">
        <v>721</v>
      </c>
      <c r="G43" s="5">
        <f>Table1310[[#This Row],[$Return]]/AVERAGE(Table1310[[#This Row],[Starting]],Table1310[[#This Row],[Starting]]+Table1310[[#This Row],[Inflows]])</f>
        <v>1.8289551825606265E-2</v>
      </c>
      <c r="H43" s="2">
        <f t="shared" si="0"/>
        <v>114385</v>
      </c>
      <c r="I43" s="18">
        <f ca="1">IF(Table1310[[#This Row],[Day]]=1,100,I42*(1+Table1310[[#This Row],[Return]]))</f>
        <v>101.01596192521929</v>
      </c>
      <c r="J43" s="3">
        <f ca="1">EXP(-((30-Table1310[[#This Row],[Day]])/30))</f>
        <v>1</v>
      </c>
      <c r="K43" s="5">
        <f ca="1">SUMPRODUCT(Table1310[Return],Table1310[Day Weight])/SUM(Table1310[Day Weight])</f>
        <v>1.7026667982785171E-3</v>
      </c>
      <c r="L43" s="5">
        <f ca="1">IF(Table1310[[#This Row],[Day]]&lt;=7,"",MIN(IF(I43&lt;MAX(I36:I42),I43/MAX(I36:I42)-1,-1%),-1%))</f>
        <v>-0.01</v>
      </c>
      <c r="M43" s="20">
        <f ca="1">IF(Table1310[[#This Row],[Day]]&lt;=7,"NM",Table1310[[#This Row],[Wgt. Avg.Return]]/ABS(Table1310[[#This Row],[Max 7d DD]]))</f>
        <v>0.17026667982785171</v>
      </c>
      <c r="O43" s="4">
        <f t="shared" ca="1" si="12"/>
        <v>45588</v>
      </c>
      <c r="P43">
        <f t="shared" ca="1" si="6"/>
        <v>30</v>
      </c>
      <c r="Q43" s="1">
        <f t="shared" si="13"/>
        <v>103915</v>
      </c>
      <c r="R43" s="6">
        <v>759</v>
      </c>
      <c r="S43" s="1">
        <v>0</v>
      </c>
      <c r="T43" s="5">
        <f>Table13411[[#This Row],[$Return]]/AVERAGE(Table13411[[#This Row],[Starting]],Table13411[[#This Row],[Starting]]+Table13411[[#This Row],[Inflows]])</f>
        <v>7.3040465765288939E-3</v>
      </c>
      <c r="U43" s="2">
        <f t="shared" si="1"/>
        <v>104674</v>
      </c>
      <c r="V43" s="18">
        <f ca="1">IF(Table13411[[#This Row],[Day]]=1,100,V42*(1+Table13411[[#This Row],[Return]]))</f>
        <v>104.93844488110042</v>
      </c>
      <c r="W43" s="3">
        <f ca="1">EXP(-((30-Table13411[[#This Row],[Day]])/30))</f>
        <v>1</v>
      </c>
      <c r="X43" s="5">
        <f ca="1">SUMPRODUCT(Table13411[Return],Table13411[Day Weight])/SUM(Table13411[Day Weight])</f>
        <v>1.9537663678593714E-3</v>
      </c>
      <c r="Y43" s="5">
        <f ca="1">IF(Table13411[[#This Row],[Day]]&lt;=7,"",MIN(IF(V43&lt;MAX(V36:V42),V43/MAX(V36:V42)-1,-1%),-1%))</f>
        <v>-0.01</v>
      </c>
      <c r="Z43" s="20">
        <f ca="1">IF(Table13411[[#This Row],[Day]]&lt;=7,"NM",Table13411[[#This Row],[Wgt. Avg.Return]]/ABS(Table13411[[#This Row],[Max 7d DD]]))</f>
        <v>0.19537663678593714</v>
      </c>
      <c r="AB43" s="4">
        <f t="shared" ca="1" si="14"/>
        <v>45588</v>
      </c>
      <c r="AC43">
        <f t="shared" ca="1" si="7"/>
        <v>30</v>
      </c>
      <c r="AD43" s="1">
        <f t="shared" si="15"/>
        <v>125000</v>
      </c>
      <c r="AE43" s="6">
        <v>10000</v>
      </c>
      <c r="AF43" s="1">
        <v>0</v>
      </c>
      <c r="AG43" s="5">
        <f>Table1341112[[#This Row],[$Return]]/AVERAGE(Table1341112[[#This Row],[Starting]],Table1341112[[#This Row],[Starting]]+Table1341112[[#This Row],[Inflows]])</f>
        <v>0.08</v>
      </c>
      <c r="AH43" s="2">
        <f t="shared" si="2"/>
        <v>135000</v>
      </c>
      <c r="AI43" s="18">
        <f ca="1">IF(Table1341112[[#This Row],[Day]]=1,100,AI42*(1+Table1341112[[#This Row],[Return]]))</f>
        <v>103.84615384615388</v>
      </c>
      <c r="AJ43" s="3">
        <f ca="1">EXP(-((30-Table1341112[[#This Row],[Day]])/30))</f>
        <v>1</v>
      </c>
      <c r="AK43" s="5">
        <f ca="1">SUMPRODUCT(Table1341112[Return],Table1341112[Day Weight])/SUM(Table1341112[Day Weight])</f>
        <v>3.9554160591534084E-2</v>
      </c>
      <c r="AL43" s="5">
        <f ca="1">IF(Table1341112[[#This Row],[Day]]&lt;=7,"",MIN(IF(AI43&lt;MAX(AI36:AI42),AI43/MAX(AI36:AI42)-1,-1%),-1%))</f>
        <v>-0.14012738853503159</v>
      </c>
      <c r="AM43" s="20">
        <f ca="1">IF(Table1341112[[#This Row],[Day]]&lt;=7,"NM",Table1341112[[#This Row],[Wgt. Avg.Return]]/ABS(Table1341112[[#This Row],[Max 7d DD]]))</f>
        <v>0.28227287331231193</v>
      </c>
      <c r="AO43" s="4">
        <f t="shared" ca="1" si="16"/>
        <v>45588</v>
      </c>
      <c r="AP43">
        <f t="shared" ca="1" si="8"/>
        <v>30</v>
      </c>
      <c r="AQ43" s="1">
        <v>918217.07</v>
      </c>
      <c r="AR43" s="6">
        <v>-1352.61</v>
      </c>
      <c r="AS43" s="1">
        <v>0</v>
      </c>
      <c r="AT43" s="5">
        <f>Table134111213[[#This Row],[$Return]]/AVERAGE(Table134111213[[#This Row],[Starting]],Table134111213[[#This Row],[Starting]]+Table134111213[[#This Row],[Inflows]])</f>
        <v>-1.4730830477808477E-3</v>
      </c>
      <c r="AU43" s="2">
        <f t="shared" si="3"/>
        <v>916864.46</v>
      </c>
      <c r="AV43" s="18">
        <f ca="1">IF(Table134111213[[#This Row],[Day]]=1,100,AV42*(1+Table134111213[[#This Row],[Return]]))</f>
        <v>102.46130461364089</v>
      </c>
      <c r="AW43" s="3">
        <f ca="1">EXP(-((30-Table134111213[[#This Row],[Day]])/30))</f>
        <v>1</v>
      </c>
      <c r="AX43" s="5">
        <f ca="1">SUMPRODUCT(Table134111213[Return],Table134111213[Day Weight])/SUM(Table134111213[Day Weight])</f>
        <v>5.0344516785799979E-4</v>
      </c>
      <c r="AY43" s="5">
        <f ca="1">IF(Table134111213[[#This Row],[Day]]&lt;=7,"",MIN(IF(AV43&lt;MAX(AV36:AV42),AV43/MAX(AV36:AV42)-1,-1%),-1%))</f>
        <v>-0.01</v>
      </c>
      <c r="AZ43" s="20">
        <f ca="1">IF(Table134111213[[#This Row],[Day]]&lt;=7,"NM",Table134111213[[#This Row],[Wgt. Avg.Return]]/ABS(Table134111213[[#This Row],[Max 7d DD]]))</f>
        <v>5.034451678579998E-2</v>
      </c>
      <c r="BB43" s="4">
        <f t="shared" ca="1" si="17"/>
        <v>45588</v>
      </c>
      <c r="BC43">
        <f t="shared" ca="1" si="9"/>
        <v>30</v>
      </c>
      <c r="BD43" s="1">
        <v>7277963.9500000002</v>
      </c>
      <c r="BE43" s="6">
        <v>57018.82</v>
      </c>
      <c r="BF43" s="1">
        <v>0</v>
      </c>
      <c r="BG43" s="5">
        <f>Table13411121314[[#This Row],[$Return]]/AVERAGE(Table13411121314[[#This Row],[Starting]],Table13411121314[[#This Row],[Starting]]+Table13411121314[[#This Row],[Inflows]])</f>
        <v>7.8344466105798715E-3</v>
      </c>
      <c r="BH43" s="2">
        <f t="shared" si="4"/>
        <v>7334982.7700000005</v>
      </c>
      <c r="BI43" s="18">
        <f ca="1">IF(Table13411121314[[#This Row],[Day]]=1,100,BI42*(1+Table13411121314[[#This Row],[Return]]))</f>
        <v>105.04579891050152</v>
      </c>
      <c r="BJ43" s="3">
        <f ca="1">EXP(-((30-Table13411121314[[#This Row],[Day]])/30))</f>
        <v>1</v>
      </c>
      <c r="BK43" s="5">
        <f ca="1">SUMPRODUCT(Table13411121314[Return],Table13411121314[Day Weight])/SUM(Table13411121314[Day Weight])</f>
        <v>1.9867052570990656E-3</v>
      </c>
      <c r="BL43" s="5">
        <f ca="1">IF(Table13411121314[[#This Row],[Day]]&lt;=7,"",MIN(IF(BI43&lt;MAX(BI36:BI42),BI43/MAX(BI36:BI42)-1,0.5%),-1%))</f>
        <v>-0.01</v>
      </c>
      <c r="BM43" s="20">
        <f ca="1">IF(Table13411121314[[#This Row],[Day]]&lt;=7,"NM",Table13411121314[[#This Row],[Wgt. Avg.Return]]/ABS(Table13411121314[[#This Row],[Max 7d DD]]))</f>
        <v>0.19867052570990656</v>
      </c>
    </row>
    <row r="44" spans="2:65" x14ac:dyDescent="0.45">
      <c r="B44" t="s">
        <v>7</v>
      </c>
      <c r="E44" s="16">
        <f>SUBTOTAL(109,Table1310[$Return])</f>
        <v>1564</v>
      </c>
      <c r="F44" s="2">
        <f>SUBTOTAL(109,Table1310[Inflows])</f>
        <v>12821</v>
      </c>
      <c r="G44" s="2"/>
      <c r="K44" s="2"/>
      <c r="L44" s="2"/>
      <c r="M44" s="2"/>
      <c r="O44" t="s">
        <v>7</v>
      </c>
      <c r="R44" s="2">
        <f>SUBTOTAL(109,Table13411[$Return])</f>
        <v>4674</v>
      </c>
      <c r="S44" s="2">
        <f>SUBTOTAL(109,Table13411[Inflows])</f>
        <v>0</v>
      </c>
      <c r="T44" s="2"/>
      <c r="W44" s="2"/>
      <c r="X44" s="2"/>
      <c r="Y44" s="2"/>
      <c r="Z44" s="14"/>
      <c r="AA44" s="14"/>
      <c r="AB44" t="s">
        <v>7</v>
      </c>
      <c r="AE44" s="2">
        <f>SUBTOTAL(109,Table1341112[$Return])</f>
        <v>35000</v>
      </c>
      <c r="AF44" s="2">
        <f>SUBTOTAL(109,Table1341112[Inflows])</f>
        <v>0</v>
      </c>
      <c r="AG44" s="2"/>
      <c r="AJ44" s="2"/>
      <c r="AK44" s="2"/>
      <c r="AL44" s="2"/>
      <c r="AM44" s="14"/>
      <c r="AN44" s="14"/>
      <c r="AO44" t="s">
        <v>7</v>
      </c>
      <c r="AR44" s="2">
        <f>SUBTOTAL(109,Table134111213[$Return])</f>
        <v>4997.3900000000031</v>
      </c>
      <c r="AS44" s="2">
        <f>SUBTOTAL(109,Table134111213[Inflows])</f>
        <v>658157.09</v>
      </c>
      <c r="AT44" s="2"/>
      <c r="AW44" s="2"/>
      <c r="AX44" s="2"/>
      <c r="AY44" s="2"/>
      <c r="AZ44" s="14"/>
      <c r="BB44" t="s">
        <v>7</v>
      </c>
      <c r="BE44" s="2">
        <f>SUBTOTAL(109,Table13411121314[$Return])</f>
        <v>359264.73000000004</v>
      </c>
      <c r="BF44" s="2">
        <f>SUBTOTAL(109,Table13411121314[Inflows])</f>
        <v>0</v>
      </c>
      <c r="BG44" s="2"/>
      <c r="BJ44" s="2"/>
      <c r="BK44" s="2"/>
      <c r="BL44" s="2"/>
      <c r="BM44" s="14"/>
    </row>
    <row r="46" spans="2:65" x14ac:dyDescent="0.45">
      <c r="F46" s="22" t="s">
        <v>17</v>
      </c>
      <c r="G46" s="23">
        <f>AVERAGE(G21:G43)</f>
        <v>-5.9421720611421767E-4</v>
      </c>
    </row>
    <row r="47" spans="2:65" x14ac:dyDescent="0.45">
      <c r="F47" s="24" t="s">
        <v>16</v>
      </c>
      <c r="G47" s="25">
        <f ca="1">K43</f>
        <v>1.7026667982785171E-3</v>
      </c>
    </row>
  </sheetData>
  <conditionalFormatting sqref="G3:G7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{56A9EDDE-C94A-46A8-914C-3234414B0116}</x14:id>
        </ext>
      </extLst>
    </cfRule>
  </conditionalFormatting>
  <conditionalFormatting sqref="I3:I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{64A7E209-1B3A-4A80-9C91-6FEB4E2922BA}</x14:id>
        </ext>
      </extLst>
    </cfRule>
  </conditionalFormatting>
  <conditionalFormatting sqref="I8:I9 J3:J7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{B98E0C98-E9C8-4A03-853B-9D577AF2A27F}</x14:id>
        </ext>
      </extLst>
    </cfRule>
  </conditionalFormatting>
  <pageMargins left="0.7" right="0.7" top="0.75" bottom="0.75" header="0.3" footer="0.3"/>
  <tableParts count="5">
    <tablePart r:id="rId1"/>
    <tablePart r:id="rId2"/>
    <tablePart r:id="rId3"/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6A9EDDE-C94A-46A8-914C-3234414B011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G3:G7</xm:sqref>
        </x14:conditionalFormatting>
        <x14:conditionalFormatting xmlns:xm="http://schemas.microsoft.com/office/excel/2006/main">
          <x14:cfRule type="dataBar" id="{64A7E209-1B3A-4A80-9C91-6FEB4E2922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I3:I7</xm:sqref>
        </x14:conditionalFormatting>
        <x14:conditionalFormatting xmlns:xm="http://schemas.microsoft.com/office/excel/2006/main">
          <x14:cfRule type="dataBar" id="{B98E0C98-E9C8-4A03-853B-9D577AF2A27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I8:I9 J3:J7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B4D16CA8-E9AF-4959-8A59-0D5BE4F21E0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Example!I14:I43</xm:f>
              <xm:sqref>J3</xm:sqref>
            </x14:sparkline>
          </x14:sparklines>
        </x14:sparklineGroup>
        <x14:sparklineGroup displayEmptyCellsAs="gap" xr2:uid="{3E0F335A-88A3-418F-A3C6-7317FA1D304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Example!V14:V43</xm:f>
              <xm:sqref>J4</xm:sqref>
            </x14:sparkline>
          </x14:sparklines>
        </x14:sparklineGroup>
        <x14:sparklineGroup displayEmptyCellsAs="gap" xr2:uid="{49FD213D-F15F-4947-8966-52F7362376D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Example!AI14:AI43</xm:f>
              <xm:sqref>J5</xm:sqref>
            </x14:sparkline>
          </x14:sparklines>
        </x14:sparklineGroup>
        <x14:sparklineGroup displayEmptyCellsAs="gap" xr2:uid="{87501308-A551-409E-A5FF-873194D1DDA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Example!AV14:AV43</xm:f>
              <xm:sqref>J6</xm:sqref>
            </x14:sparkline>
          </x14:sparklines>
        </x14:sparklineGroup>
        <x14:sparklineGroup displayEmptyCellsAs="gap" xr2:uid="{3F131C08-9BB0-4BAD-A64E-81737F7E0BE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Example!BI14:BI43</xm:f>
              <xm:sqref>J7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03BAF-4749-405A-8133-B79F25571682}">
  <dimension ref="B1:R35"/>
  <sheetViews>
    <sheetView showGridLines="0" workbookViewId="0">
      <selection activeCell="P3" sqref="P3"/>
    </sheetView>
  </sheetViews>
  <sheetFormatPr defaultRowHeight="14.25" x14ac:dyDescent="0.45"/>
  <sheetData>
    <row r="1" spans="2:18" x14ac:dyDescent="0.45">
      <c r="P1" s="30" t="s">
        <v>24</v>
      </c>
      <c r="R1" s="31" t="s">
        <v>27</v>
      </c>
    </row>
    <row r="2" spans="2:18" ht="17.25" x14ac:dyDescent="0.55000000000000004">
      <c r="O2" s="10" t="s">
        <v>26</v>
      </c>
      <c r="P2" s="29">
        <v>25</v>
      </c>
      <c r="R2" s="35">
        <f>(SUMPRODUCT($P$5:$P$34,$Q$5:$Q$34)/SUM($P$5:$P$34))/ABS(_xlfn.XLOOKUP($P$2,$O$5:$O$34,$R$5:$R$34))</f>
        <v>1.3124283889893655</v>
      </c>
    </row>
    <row r="3" spans="2:18" x14ac:dyDescent="0.45">
      <c r="B3" s="8" t="s">
        <v>28</v>
      </c>
      <c r="L3" s="17"/>
    </row>
    <row r="4" spans="2:18" x14ac:dyDescent="0.45">
      <c r="B4" t="s">
        <v>6</v>
      </c>
      <c r="C4" t="s">
        <v>5</v>
      </c>
      <c r="D4" t="s">
        <v>0</v>
      </c>
      <c r="E4" t="s">
        <v>2</v>
      </c>
      <c r="F4" t="s">
        <v>4</v>
      </c>
      <c r="G4" t="s">
        <v>1</v>
      </c>
      <c r="H4" t="s">
        <v>3</v>
      </c>
      <c r="I4" t="s">
        <v>15</v>
      </c>
      <c r="J4" t="s">
        <v>14</v>
      </c>
      <c r="K4" t="s">
        <v>18</v>
      </c>
      <c r="L4" t="s">
        <v>19</v>
      </c>
      <c r="M4" s="21" t="s">
        <v>20</v>
      </c>
      <c r="O4" s="31" t="s">
        <v>5</v>
      </c>
      <c r="P4" s="31" t="s">
        <v>23</v>
      </c>
      <c r="Q4" s="31" t="s">
        <v>1</v>
      </c>
      <c r="R4" s="31" t="s">
        <v>25</v>
      </c>
    </row>
    <row r="5" spans="2:18" x14ac:dyDescent="0.45">
      <c r="B5" s="4">
        <f ca="1">TODAY()</f>
        <v>45559</v>
      </c>
      <c r="C5">
        <v>1</v>
      </c>
      <c r="D5" s="1">
        <v>100000</v>
      </c>
      <c r="E5" s="6">
        <v>-1097</v>
      </c>
      <c r="F5" s="1">
        <v>45</v>
      </c>
      <c r="G5" s="5">
        <f>Table131016[[#This Row],[$Return]]/AVERAGE(Table131016[[#This Row],[Starting]],Table131016[[#This Row],[Starting]]+Table131016[[#This Row],[Inflows]])</f>
        <v>-1.0967532305231323E-2</v>
      </c>
      <c r="H5" s="2">
        <f t="shared" ref="H5:H34" si="0">D5+E5+F5</f>
        <v>98948</v>
      </c>
      <c r="I5" s="18">
        <f>IF(Table131016[[#This Row],[Day]]=1,100,I4*(1+Table131016[[#This Row],[Return]]))</f>
        <v>100</v>
      </c>
      <c r="J5" s="3">
        <f>EXP(-((30-Table131016[[#This Row],[Day]])/30))</f>
        <v>0.38034875658925854</v>
      </c>
      <c r="K5" s="5"/>
      <c r="L5" s="5" t="str">
        <f>IF(Table131016[[#This Row],[Day]]&lt;=7,"",MIN(IF(I5&lt;MAX(#REF!),I5/MAX(#REF!)-1,-1%),-1%))</f>
        <v/>
      </c>
      <c r="M5" s="19"/>
      <c r="O5" s="31">
        <v>1</v>
      </c>
      <c r="P5" s="7">
        <f t="shared" ref="P5:P34" si="1">IF($O5&gt;$P$2,"",EXP(-(($P$2-$O5)/$P$2)))</f>
        <v>0.38289288597511206</v>
      </c>
      <c r="Q5" s="27">
        <f>IF($O5&gt;$P$2,"",Table131016[[#This Row],[Return]])</f>
        <v>-1.0967532305231323E-2</v>
      </c>
      <c r="R5" s="32" t="str">
        <f t="shared" ref="R5:R34" si="2">IF(P5="","",L5)</f>
        <v/>
      </c>
    </row>
    <row r="6" spans="2:18" x14ac:dyDescent="0.45">
      <c r="B6" s="4">
        <f ca="1">B5+1</f>
        <v>45560</v>
      </c>
      <c r="C6">
        <f>C5+1</f>
        <v>2</v>
      </c>
      <c r="D6" s="1">
        <f>H5</f>
        <v>98948</v>
      </c>
      <c r="E6" s="6">
        <v>1077</v>
      </c>
      <c r="F6" s="1">
        <v>675</v>
      </c>
      <c r="G6" s="5">
        <f>Table131016[[#This Row],[$Return]]/AVERAGE(Table131016[[#This Row],[Starting]],Table131016[[#This Row],[Starting]]+Table131016[[#This Row],[Inflows]])</f>
        <v>1.0847505426270705E-2</v>
      </c>
      <c r="H6" s="2">
        <f t="shared" si="0"/>
        <v>100700</v>
      </c>
      <c r="I6" s="18">
        <f>IF(Table131016[[#This Row],[Day]]=1,100,I5*(1+Table131016[[#This Row],[Return]]))</f>
        <v>101.08475054262706</v>
      </c>
      <c r="J6" s="3">
        <f>EXP(-((30-Table131016[[#This Row],[Day]])/30))</f>
        <v>0.39324072086859824</v>
      </c>
      <c r="K6" s="5"/>
      <c r="L6" s="5" t="str">
        <f>IF(Table131016[[#This Row],[Day]]&lt;=7,"",MIN(IF(I6&lt;MAX(#REF!),I6/MAX(#REF!)-1,-1%),-1%))</f>
        <v/>
      </c>
      <c r="M6" s="19"/>
      <c r="O6" s="31">
        <f>O5+1</f>
        <v>2</v>
      </c>
      <c r="P6" s="7">
        <f t="shared" si="1"/>
        <v>0.39851904108451414</v>
      </c>
      <c r="Q6" s="27">
        <f>IF($O6&gt;$P$2,"",Table131016[[#This Row],[Return]])</f>
        <v>1.0847505426270705E-2</v>
      </c>
      <c r="R6" s="32" t="str">
        <f t="shared" si="2"/>
        <v/>
      </c>
    </row>
    <row r="7" spans="2:18" x14ac:dyDescent="0.45">
      <c r="B7" s="4">
        <f t="shared" ref="B7:C34" ca="1" si="3">B6+1</f>
        <v>45561</v>
      </c>
      <c r="C7">
        <f t="shared" si="3"/>
        <v>3</v>
      </c>
      <c r="D7" s="1">
        <f t="shared" ref="D7:D34" si="4">H6</f>
        <v>100700</v>
      </c>
      <c r="E7" s="6">
        <v>1020</v>
      </c>
      <c r="F7" s="1">
        <v>775</v>
      </c>
      <c r="G7" s="5">
        <f>Table131016[[#This Row],[$Return]]/AVERAGE(Table131016[[#This Row],[Starting]],Table131016[[#This Row],[Starting]]+Table131016[[#This Row],[Inflows]])</f>
        <v>1.0090268331890688E-2</v>
      </c>
      <c r="H7" s="2">
        <f t="shared" si="0"/>
        <v>102495</v>
      </c>
      <c r="I7" s="18">
        <f>IF(Table131016[[#This Row],[Day]]=1,100,I6*(1+Table131016[[#This Row],[Return]]))</f>
        <v>102.1047227998644</v>
      </c>
      <c r="J7" s="3">
        <f>EXP(-((30-Table131016[[#This Row],[Day]])/30))</f>
        <v>0.40656965974059911</v>
      </c>
      <c r="K7" s="5"/>
      <c r="L7" s="5" t="str">
        <f>IF(Table131016[[#This Row],[Day]]&lt;=7,"",MIN(IF(I7&lt;MAX(#REF!),I7/MAX(#REF!)-1,-1%),-1%))</f>
        <v/>
      </c>
      <c r="M7" s="19"/>
      <c r="O7" s="31">
        <f>O6+1</f>
        <v>3</v>
      </c>
      <c r="P7" s="7">
        <f t="shared" si="1"/>
        <v>0.41478291168158138</v>
      </c>
      <c r="Q7" s="27">
        <f>IF($O7&gt;$P$2,"",Table131016[[#This Row],[Return]])</f>
        <v>1.0090268331890688E-2</v>
      </c>
      <c r="R7" s="32" t="str">
        <f t="shared" si="2"/>
        <v/>
      </c>
    </row>
    <row r="8" spans="2:18" x14ac:dyDescent="0.45">
      <c r="B8" s="4">
        <f t="shared" ca="1" si="3"/>
        <v>45562</v>
      </c>
      <c r="C8">
        <f t="shared" si="3"/>
        <v>4</v>
      </c>
      <c r="D8" s="1">
        <f t="shared" si="4"/>
        <v>102495</v>
      </c>
      <c r="E8" s="6">
        <v>2549</v>
      </c>
      <c r="F8" s="1">
        <v>193</v>
      </c>
      <c r="G8" s="5">
        <f>Table131016[[#This Row],[$Return]]/AVERAGE(Table131016[[#This Row],[Starting]],Table131016[[#This Row],[Starting]]+Table131016[[#This Row],[Inflows]])</f>
        <v>2.4846112982069665E-2</v>
      </c>
      <c r="H8" s="2">
        <f t="shared" si="0"/>
        <v>105237</v>
      </c>
      <c r="I8" s="18">
        <f>IF(Table131016[[#This Row],[Day]]=1,100,I7*(1+Table131016[[#This Row],[Return]]))</f>
        <v>104.64162827855273</v>
      </c>
      <c r="J8" s="3">
        <f>EXP(-((30-Table131016[[#This Row],[Day]])/30))</f>
        <v>0.4203503845086819</v>
      </c>
      <c r="K8" s="5"/>
      <c r="L8" s="5" t="str">
        <f>IF(Table131016[[#This Row],[Day]]&lt;=7,"",MIN(IF(I8&lt;MAX(I1:I7),I8/MAX(I1:I7)-1,-1%),-1%))</f>
        <v/>
      </c>
      <c r="M8" s="19"/>
      <c r="O8" s="31">
        <f>O7+1</f>
        <v>4</v>
      </c>
      <c r="P8" s="7">
        <f t="shared" si="1"/>
        <v>0.43171052342907973</v>
      </c>
      <c r="Q8" s="27">
        <f>IF($O8&gt;$P$2,"",Table131016[[#This Row],[Return]])</f>
        <v>2.4846112982069665E-2</v>
      </c>
      <c r="R8" s="32" t="str">
        <f t="shared" si="2"/>
        <v/>
      </c>
    </row>
    <row r="9" spans="2:18" x14ac:dyDescent="0.45">
      <c r="B9" s="4">
        <f t="shared" ca="1" si="3"/>
        <v>45563</v>
      </c>
      <c r="C9">
        <f t="shared" si="3"/>
        <v>5</v>
      </c>
      <c r="D9" s="1">
        <f t="shared" si="4"/>
        <v>105237</v>
      </c>
      <c r="E9" s="6">
        <v>3907</v>
      </c>
      <c r="F9" s="1">
        <v>532</v>
      </c>
      <c r="G9" s="5">
        <f>Table131016[[#This Row],[$Return]]/AVERAGE(Table131016[[#This Row],[Starting]],Table131016[[#This Row],[Starting]]+Table131016[[#This Row],[Inflows]])</f>
        <v>3.7032122309318218E-2</v>
      </c>
      <c r="H9" s="2">
        <f t="shared" si="0"/>
        <v>109676</v>
      </c>
      <c r="I9" s="18">
        <f>IF(Table131016[[#This Row],[Day]]=1,100,I8*(1+Table131016[[#This Row],[Return]]))</f>
        <v>108.51672985561031</v>
      </c>
      <c r="J9" s="3">
        <f>EXP(-((30-Table131016[[#This Row],[Day]])/30))</f>
        <v>0.4345982085070782</v>
      </c>
      <c r="K9" s="5"/>
      <c r="L9" s="5" t="str">
        <f>IF(Table131016[[#This Row],[Day]]&lt;=7,"",MIN(IF(I9&lt;MAX(I2:I8),I9/MAX(I2:I8)-1,-1%),-1%))</f>
        <v/>
      </c>
      <c r="M9" s="19"/>
      <c r="O9" s="31">
        <f t="shared" ref="O9:O34" si="5">O8+1</f>
        <v>5</v>
      </c>
      <c r="P9" s="7">
        <f t="shared" si="1"/>
        <v>0.44932896411722156</v>
      </c>
      <c r="Q9" s="27">
        <f>IF($O9&gt;$P$2,"",Table131016[[#This Row],[Return]])</f>
        <v>3.7032122309318218E-2</v>
      </c>
      <c r="R9" s="32" t="str">
        <f t="shared" si="2"/>
        <v/>
      </c>
    </row>
    <row r="10" spans="2:18" x14ac:dyDescent="0.45">
      <c r="B10" s="4">
        <f t="shared" ca="1" si="3"/>
        <v>45564</v>
      </c>
      <c r="C10">
        <f t="shared" si="3"/>
        <v>6</v>
      </c>
      <c r="D10" s="1">
        <f t="shared" si="4"/>
        <v>109676</v>
      </c>
      <c r="E10" s="6">
        <v>293</v>
      </c>
      <c r="F10" s="1">
        <v>533</v>
      </c>
      <c r="G10" s="5">
        <f>Table131016[[#This Row],[$Return]]/AVERAGE(Table131016[[#This Row],[Starting]],Table131016[[#This Row],[Starting]]+Table131016[[#This Row],[Inflows]])</f>
        <v>2.6650294472110423E-3</v>
      </c>
      <c r="H10" s="2">
        <f t="shared" si="0"/>
        <v>110502</v>
      </c>
      <c r="I10" s="18">
        <f>IF(Table131016[[#This Row],[Day]]=1,100,I9*(1+Table131016[[#This Row],[Return]]))</f>
        <v>108.80593013619055</v>
      </c>
      <c r="J10" s="3">
        <f>EXP(-((30-Table131016[[#This Row],[Day]])/30))</f>
        <v>0.44932896411722156</v>
      </c>
      <c r="K10" s="5"/>
      <c r="L10" s="5" t="str">
        <f>IF(Table131016[[#This Row],[Day]]&lt;=7,"",MIN(IF(I10&lt;MAX(I3:I9),I10/MAX(I3:I9)-1,-1%),-1%))</f>
        <v/>
      </c>
      <c r="M10" s="19"/>
      <c r="O10" s="31">
        <f t="shared" si="5"/>
        <v>6</v>
      </c>
      <c r="P10" s="7">
        <f t="shared" si="1"/>
        <v>0.46766642700990924</v>
      </c>
      <c r="Q10" s="27">
        <f>IF($O10&gt;$P$2,"",Table131016[[#This Row],[Return]])</f>
        <v>2.6650294472110423E-3</v>
      </c>
      <c r="R10" s="32" t="str">
        <f t="shared" si="2"/>
        <v/>
      </c>
    </row>
    <row r="11" spans="2:18" x14ac:dyDescent="0.45">
      <c r="B11" s="4">
        <f t="shared" ca="1" si="3"/>
        <v>45565</v>
      </c>
      <c r="C11">
        <f t="shared" si="3"/>
        <v>7</v>
      </c>
      <c r="D11" s="1">
        <f t="shared" si="4"/>
        <v>110502</v>
      </c>
      <c r="E11" s="6">
        <v>-1544</v>
      </c>
      <c r="F11" s="1">
        <v>687</v>
      </c>
      <c r="G11" s="5">
        <f>Table131016[[#This Row],[$Return]]/AVERAGE(Table131016[[#This Row],[Starting]],Table131016[[#This Row],[Starting]]+Table131016[[#This Row],[Inflows]])</f>
        <v>-1.3929297986837536E-2</v>
      </c>
      <c r="H11" s="2">
        <f t="shared" si="0"/>
        <v>109645</v>
      </c>
      <c r="I11" s="18">
        <f>IF(Table131016[[#This Row],[Day]]=1,100,I10*(1+Table131016[[#This Row],[Return]]))</f>
        <v>107.29033991258854</v>
      </c>
      <c r="J11" s="3">
        <f>EXP(-((30-Table131016[[#This Row],[Day]])/30))</f>
        <v>0.46455902036091146</v>
      </c>
      <c r="K11" s="5"/>
      <c r="L11" s="5" t="str">
        <f>IF(Table131016[[#This Row],[Day]]&lt;=7,"",MIN(IF(I11&lt;MAX(I4:I10),I11/MAX(I4:I10)-1,-1%),-1%))</f>
        <v/>
      </c>
      <c r="M11" s="19"/>
      <c r="O11" s="31">
        <f t="shared" si="5"/>
        <v>7</v>
      </c>
      <c r="P11" s="7">
        <f t="shared" si="1"/>
        <v>0.48675225595997168</v>
      </c>
      <c r="Q11" s="27">
        <f>IF($O11&gt;$P$2,"",Table131016[[#This Row],[Return]])</f>
        <v>-1.3929297986837536E-2</v>
      </c>
      <c r="R11" s="32" t="str">
        <f t="shared" si="2"/>
        <v/>
      </c>
    </row>
    <row r="12" spans="2:18" x14ac:dyDescent="0.45">
      <c r="B12" s="4">
        <f t="shared" ca="1" si="3"/>
        <v>45566</v>
      </c>
      <c r="C12">
        <f t="shared" si="3"/>
        <v>8</v>
      </c>
      <c r="D12" s="1">
        <f t="shared" si="4"/>
        <v>109645</v>
      </c>
      <c r="E12" s="6">
        <v>32</v>
      </c>
      <c r="F12" s="1">
        <v>553</v>
      </c>
      <c r="G12" s="5">
        <f>Table131016[[#This Row],[$Return]]/AVERAGE(Table131016[[#This Row],[Starting]],Table131016[[#This Row],[Starting]]+Table131016[[#This Row],[Inflows]])</f>
        <v>2.9111684247394733E-4</v>
      </c>
      <c r="H12" s="2">
        <f t="shared" si="0"/>
        <v>110230</v>
      </c>
      <c r="I12" s="18">
        <f>IF(Table131016[[#This Row],[Day]]=1,100,I11*(1+Table131016[[#This Row],[Return]]))</f>
        <v>107.32157393757184</v>
      </c>
      <c r="J12" s="3">
        <f>EXP(-((30-Table131016[[#This Row],[Day]])/30))</f>
        <v>0.48030530108979941</v>
      </c>
      <c r="K12" s="5"/>
      <c r="L12" s="5">
        <f>IF(Table131016[[#This Row],[Day]]&lt;=7,"",MIN(IF(I12&lt;MAX(I5:I11),I12/MAX(I5:I11)-1,-1%),-1%))</f>
        <v>-1.3642236197611401E-2</v>
      </c>
      <c r="M12" s="19"/>
      <c r="O12" s="31">
        <f t="shared" si="5"/>
        <v>8</v>
      </c>
      <c r="P12" s="7">
        <f t="shared" si="1"/>
        <v>0.50661699236558955</v>
      </c>
      <c r="Q12" s="27">
        <f>IF($O12&gt;$P$2,"",Table131016[[#This Row],[Return]])</f>
        <v>2.9111684247394733E-4</v>
      </c>
      <c r="R12" s="32">
        <f t="shared" si="2"/>
        <v>-1.3642236197611401E-2</v>
      </c>
    </row>
    <row r="13" spans="2:18" x14ac:dyDescent="0.45">
      <c r="B13" s="4">
        <f t="shared" ca="1" si="3"/>
        <v>45567</v>
      </c>
      <c r="C13">
        <f t="shared" si="3"/>
        <v>9</v>
      </c>
      <c r="D13" s="1">
        <f t="shared" si="4"/>
        <v>110230</v>
      </c>
      <c r="E13" s="6">
        <v>-3516</v>
      </c>
      <c r="F13" s="1">
        <v>168</v>
      </c>
      <c r="G13" s="5">
        <f>Table131016[[#This Row],[$Return]]/AVERAGE(Table131016[[#This Row],[Starting]],Table131016[[#This Row],[Starting]]+Table131016[[#This Row],[Inflows]])</f>
        <v>-3.1872654422829376E-2</v>
      </c>
      <c r="H13" s="2">
        <f t="shared" si="0"/>
        <v>106882</v>
      </c>
      <c r="I13" s="18">
        <f>IF(Table131016[[#This Row],[Day]]=1,100,I12*(1+Table131016[[#This Row],[Return]]))</f>
        <v>103.90095049934548</v>
      </c>
      <c r="J13" s="3">
        <f>EXP(-((30-Table131016[[#This Row],[Day]])/30))</f>
        <v>0.49658530379140953</v>
      </c>
      <c r="K13" s="5"/>
      <c r="L13" s="5">
        <f>IF(Table131016[[#This Row],[Day]]&lt;=7,"",MIN(IF(I13&lt;MAX(I6:I12),I13/MAX(I6:I12)-1,-1%),-1%))</f>
        <v>-4.5080076340559661E-2</v>
      </c>
      <c r="M13" s="19"/>
      <c r="O13" s="31">
        <f t="shared" si="5"/>
        <v>9</v>
      </c>
      <c r="P13" s="7">
        <f t="shared" si="1"/>
        <v>0.52729242404304855</v>
      </c>
      <c r="Q13" s="27">
        <f>IF($O13&gt;$P$2,"",Table131016[[#This Row],[Return]])</f>
        <v>-3.1872654422829376E-2</v>
      </c>
      <c r="R13" s="32">
        <f t="shared" si="2"/>
        <v>-4.5080076340559661E-2</v>
      </c>
    </row>
    <row r="14" spans="2:18" x14ac:dyDescent="0.45">
      <c r="B14" s="4">
        <f t="shared" ca="1" si="3"/>
        <v>45568</v>
      </c>
      <c r="C14">
        <f t="shared" si="3"/>
        <v>10</v>
      </c>
      <c r="D14" s="1">
        <f t="shared" si="4"/>
        <v>106882</v>
      </c>
      <c r="E14" s="6">
        <v>-3792</v>
      </c>
      <c r="F14" s="1">
        <v>492</v>
      </c>
      <c r="G14" s="5">
        <f>Table131016[[#This Row],[$Return]]/AVERAGE(Table131016[[#This Row],[Starting]],Table131016[[#This Row],[Starting]]+Table131016[[#This Row],[Inflows]])</f>
        <v>-3.5396908371294153E-2</v>
      </c>
      <c r="H14" s="2">
        <f t="shared" si="0"/>
        <v>103582</v>
      </c>
      <c r="I14" s="18">
        <f>IF(Table131016[[#This Row],[Day]]=1,100,I13*(1+Table131016[[#This Row],[Return]]))</f>
        <v>100.22317807482978</v>
      </c>
      <c r="J14" s="3">
        <f>EXP(-((30-Table131016[[#This Row],[Day]])/30))</f>
        <v>0.51341711903259202</v>
      </c>
      <c r="K14" s="5"/>
      <c r="L14" s="5">
        <f>IF(Table131016[[#This Row],[Day]]&lt;=7,"",MIN(IF(I14&lt;MAX(I7:I13),I14/MAX(I7:I13)-1,-1%),-1%))</f>
        <v>-7.8881289380256181E-2</v>
      </c>
      <c r="M14" s="19"/>
      <c r="O14" s="31">
        <f t="shared" si="5"/>
        <v>10</v>
      </c>
      <c r="P14" s="7">
        <f t="shared" si="1"/>
        <v>0.5488116360940265</v>
      </c>
      <c r="Q14" s="27">
        <f>IF($O14&gt;$P$2,"",Table131016[[#This Row],[Return]])</f>
        <v>-3.5396908371294153E-2</v>
      </c>
      <c r="R14" s="32">
        <f t="shared" si="2"/>
        <v>-7.8881289380256181E-2</v>
      </c>
    </row>
    <row r="15" spans="2:18" x14ac:dyDescent="0.45">
      <c r="B15" s="4">
        <f t="shared" ca="1" si="3"/>
        <v>45569</v>
      </c>
      <c r="C15">
        <f t="shared" si="3"/>
        <v>11</v>
      </c>
      <c r="D15" s="1">
        <f t="shared" si="4"/>
        <v>103582</v>
      </c>
      <c r="E15" s="6">
        <v>1068</v>
      </c>
      <c r="F15" s="1">
        <v>815</v>
      </c>
      <c r="G15" s="5">
        <f>Table131016[[#This Row],[$Return]]/AVERAGE(Table131016[[#This Row],[Starting]],Table131016[[#This Row],[Starting]]+Table131016[[#This Row],[Inflows]])</f>
        <v>1.0270267671255271E-2</v>
      </c>
      <c r="H15" s="2">
        <f t="shared" si="0"/>
        <v>105465</v>
      </c>
      <c r="I15" s="18">
        <f>IF(Table131016[[#This Row],[Day]]=1,100,I14*(1+Table131016[[#This Row],[Return]]))</f>
        <v>101.25249694052215</v>
      </c>
      <c r="J15" s="3">
        <f>EXP(-((30-Table131016[[#This Row],[Day]])/30))</f>
        <v>0.53081945056201396</v>
      </c>
      <c r="K15" s="5"/>
      <c r="L15" s="5">
        <f>IF(Table131016[[#This Row],[Day]]&lt;=7,"",MIN(IF(I15&lt;MAX(I8:I14),I15/MAX(I8:I14)-1,-1%),-1%))</f>
        <v>-6.9421153665189972E-2</v>
      </c>
      <c r="M15" s="19"/>
      <c r="O15" s="31">
        <f t="shared" si="5"/>
        <v>11</v>
      </c>
      <c r="P15" s="7">
        <f t="shared" si="1"/>
        <v>0.57120906384881487</v>
      </c>
      <c r="Q15" s="27">
        <f>IF($O15&gt;$P$2,"",Table131016[[#This Row],[Return]])</f>
        <v>1.0270267671255271E-2</v>
      </c>
      <c r="R15" s="32">
        <f t="shared" si="2"/>
        <v>-6.9421153665189972E-2</v>
      </c>
    </row>
    <row r="16" spans="2:18" x14ac:dyDescent="0.45">
      <c r="B16" s="4">
        <f t="shared" ca="1" si="3"/>
        <v>45570</v>
      </c>
      <c r="C16">
        <f t="shared" si="3"/>
        <v>12</v>
      </c>
      <c r="D16" s="1">
        <f t="shared" si="4"/>
        <v>105465</v>
      </c>
      <c r="E16" s="6">
        <v>1090</v>
      </c>
      <c r="F16" s="1">
        <v>121</v>
      </c>
      <c r="G16" s="5">
        <f>Table131016[[#This Row],[$Return]]/AVERAGE(Table131016[[#This Row],[Starting]],Table131016[[#This Row],[Starting]]+Table131016[[#This Row],[Inflows]])</f>
        <v>1.032925690946738E-2</v>
      </c>
      <c r="H16" s="2">
        <f t="shared" si="0"/>
        <v>106676</v>
      </c>
      <c r="I16" s="18">
        <f>IF(Table131016[[#This Row],[Day]]=1,100,I15*(1+Table131016[[#This Row],[Return]]))</f>
        <v>102.29835999414586</v>
      </c>
      <c r="J16" s="3">
        <f>EXP(-((30-Table131016[[#This Row],[Day]])/30))</f>
        <v>0.5488116360940265</v>
      </c>
      <c r="K16" s="5"/>
      <c r="L16" s="5">
        <f>IF(Table131016[[#This Row],[Day]]&lt;=7,"",MIN(IF(I16&lt;MAX(I9:I15),I16/MAX(I9:I15)-1,-1%),-1%))</f>
        <v>-5.9808965686881987E-2</v>
      </c>
      <c r="M16" s="19"/>
      <c r="O16" s="31">
        <f t="shared" si="5"/>
        <v>12</v>
      </c>
      <c r="P16" s="7">
        <f t="shared" si="1"/>
        <v>0.59452054797019438</v>
      </c>
      <c r="Q16" s="27">
        <f>IF($O16&gt;$P$2,"",Table131016[[#This Row],[Return]])</f>
        <v>1.032925690946738E-2</v>
      </c>
      <c r="R16" s="32">
        <f t="shared" si="2"/>
        <v>-5.9808965686881987E-2</v>
      </c>
    </row>
    <row r="17" spans="2:18" x14ac:dyDescent="0.45">
      <c r="B17" s="4">
        <f t="shared" ca="1" si="3"/>
        <v>45571</v>
      </c>
      <c r="C17">
        <f t="shared" si="3"/>
        <v>13</v>
      </c>
      <c r="D17" s="1">
        <f t="shared" si="4"/>
        <v>106676</v>
      </c>
      <c r="E17" s="6">
        <v>-383</v>
      </c>
      <c r="F17" s="1">
        <v>801</v>
      </c>
      <c r="G17" s="5">
        <f>Table131016[[#This Row],[$Return]]/AVERAGE(Table131016[[#This Row],[Starting]],Table131016[[#This Row],[Starting]]+Table131016[[#This Row],[Inflows]])</f>
        <v>-3.5768819488870107E-3</v>
      </c>
      <c r="H17" s="2">
        <f t="shared" si="0"/>
        <v>107094</v>
      </c>
      <c r="I17" s="18">
        <f>IF(Table131016[[#This Row],[Day]]=1,100,I16*(1+Table131016[[#This Row],[Return]]))</f>
        <v>101.93245083688204</v>
      </c>
      <c r="J17" s="3">
        <f>EXP(-((30-Table131016[[#This Row],[Day]])/30))</f>
        <v>0.56741366879700383</v>
      </c>
      <c r="K17" s="5"/>
      <c r="L17" s="5">
        <f>IF(Table131016[[#This Row],[Day]]&lt;=7,"",MIN(IF(I17&lt;MAX(I10:I16),I17/MAX(I10:I16)-1,-1%),-1%))</f>
        <v>-6.3171918026022067E-2</v>
      </c>
      <c r="M17" s="19"/>
      <c r="O17" s="31">
        <f t="shared" si="5"/>
        <v>13</v>
      </c>
      <c r="P17" s="7">
        <f t="shared" si="1"/>
        <v>0.61878339180614084</v>
      </c>
      <c r="Q17" s="27">
        <f>IF($O17&gt;$P$2,"",Table131016[[#This Row],[Return]])</f>
        <v>-3.5768819488870107E-3</v>
      </c>
      <c r="R17" s="32">
        <f t="shared" si="2"/>
        <v>-6.3171918026022067E-2</v>
      </c>
    </row>
    <row r="18" spans="2:18" x14ac:dyDescent="0.45">
      <c r="B18" s="4">
        <f t="shared" ca="1" si="3"/>
        <v>45572</v>
      </c>
      <c r="C18">
        <f t="shared" si="3"/>
        <v>14</v>
      </c>
      <c r="D18" s="1">
        <f t="shared" si="4"/>
        <v>107094</v>
      </c>
      <c r="E18" s="6">
        <v>1833</v>
      </c>
      <c r="F18" s="1">
        <v>941</v>
      </c>
      <c r="G18" s="5">
        <f>Table131016[[#This Row],[$Return]]/AVERAGE(Table131016[[#This Row],[Starting]],Table131016[[#This Row],[Starting]]+Table131016[[#This Row],[Inflows]])</f>
        <v>1.7040938227761017E-2</v>
      </c>
      <c r="H18" s="2">
        <f t="shared" si="0"/>
        <v>109868</v>
      </c>
      <c r="I18" s="18">
        <f>IF(Table131016[[#This Row],[Day]]=1,100,I17*(1+Table131016[[#This Row],[Return]]))</f>
        <v>103.66947543499764</v>
      </c>
      <c r="J18" s="3">
        <f>EXP(-((30-Table131016[[#This Row],[Day]])/30))</f>
        <v>0.58664621951003182</v>
      </c>
      <c r="K18" s="5"/>
      <c r="L18" s="5">
        <f>IF(Table131016[[#This Row],[Day]]&lt;=7,"",MIN(IF(I18&lt;MAX(I11:I17),I18/MAX(I11:I17)-1,-1%),-1%))</f>
        <v>-3.4029490703319398E-2</v>
      </c>
      <c r="M18" s="19"/>
      <c r="O18" s="31">
        <f t="shared" si="5"/>
        <v>14</v>
      </c>
      <c r="P18" s="7">
        <f t="shared" si="1"/>
        <v>0.64403642108314141</v>
      </c>
      <c r="Q18" s="27">
        <f>IF($O18&gt;$P$2,"",Table131016[[#This Row],[Return]])</f>
        <v>1.7040938227761017E-2</v>
      </c>
      <c r="R18" s="32">
        <f t="shared" si="2"/>
        <v>-3.4029490703319398E-2</v>
      </c>
    </row>
    <row r="19" spans="2:18" x14ac:dyDescent="0.45">
      <c r="B19" s="4">
        <f t="shared" ca="1" si="3"/>
        <v>45573</v>
      </c>
      <c r="C19">
        <f t="shared" si="3"/>
        <v>15</v>
      </c>
      <c r="D19" s="1">
        <f t="shared" si="4"/>
        <v>109868</v>
      </c>
      <c r="E19" s="6">
        <v>16</v>
      </c>
      <c r="F19" s="1">
        <v>213</v>
      </c>
      <c r="G19" s="5">
        <f>Table131016[[#This Row],[$Return]]/AVERAGE(Table131016[[#This Row],[Starting]],Table131016[[#This Row],[Starting]]+Table131016[[#This Row],[Inflows]])</f>
        <v>1.4548827228130158E-4</v>
      </c>
      <c r="H19" s="2">
        <f t="shared" si="0"/>
        <v>110097</v>
      </c>
      <c r="I19" s="18">
        <f>IF(Table131016[[#This Row],[Day]]=1,100,I18*(1+Table131016[[#This Row],[Return]]))</f>
        <v>103.68455812786699</v>
      </c>
      <c r="J19" s="3">
        <f>EXP(-((30-Table131016[[#This Row],[Day]])/30))</f>
        <v>0.60653065971263342</v>
      </c>
      <c r="K19" s="5"/>
      <c r="L19" s="5">
        <f>IF(Table131016[[#This Row],[Day]]&lt;=7,"",MIN(IF(I19&lt;MAX(I12:I18),I19/MAX(I12:I18)-1,-1%),-1%))</f>
        <v>-3.3888953322847026E-2</v>
      </c>
      <c r="M19" s="19"/>
      <c r="O19" s="31">
        <f t="shared" si="5"/>
        <v>15</v>
      </c>
      <c r="P19" s="7">
        <f t="shared" si="1"/>
        <v>0.67032004603563933</v>
      </c>
      <c r="Q19" s="27">
        <f>IF($O19&gt;$P$2,"",Table131016[[#This Row],[Return]])</f>
        <v>1.4548827228130158E-4</v>
      </c>
      <c r="R19" s="32">
        <f t="shared" si="2"/>
        <v>-3.3888953322847026E-2</v>
      </c>
    </row>
    <row r="20" spans="2:18" x14ac:dyDescent="0.45">
      <c r="B20" s="4">
        <f t="shared" ca="1" si="3"/>
        <v>45574</v>
      </c>
      <c r="C20">
        <f t="shared" si="3"/>
        <v>16</v>
      </c>
      <c r="D20" s="1">
        <f t="shared" si="4"/>
        <v>110097</v>
      </c>
      <c r="E20" s="6">
        <v>5051</v>
      </c>
      <c r="F20" s="1">
        <v>689</v>
      </c>
      <c r="G20" s="5">
        <f>Table131016[[#This Row],[$Return]]/AVERAGE(Table131016[[#This Row],[Starting]],Table131016[[#This Row],[Starting]]+Table131016[[#This Row],[Inflows]])</f>
        <v>4.5734619685534876E-2</v>
      </c>
      <c r="H20" s="2">
        <f t="shared" si="0"/>
        <v>115837</v>
      </c>
      <c r="I20" s="18">
        <f>IF(Table131016[[#This Row],[Day]]=1,100,I19*(1+Table131016[[#This Row],[Return]]))</f>
        <v>108.42653196110771</v>
      </c>
      <c r="J20" s="3">
        <f>EXP(-((30-Table131016[[#This Row],[Day]])/30))</f>
        <v>0.62708908527305607</v>
      </c>
      <c r="K20" s="5"/>
      <c r="L20" s="5">
        <f>IF(Table131016[[#This Row],[Day]]&lt;=7,"",MIN(IF(I20&lt;MAX(I13:I19),I20/MAX(I13:I19)-1,-1%),-1%))</f>
        <v>-0.01</v>
      </c>
      <c r="M20" s="19"/>
      <c r="O20" s="31">
        <f t="shared" si="5"/>
        <v>16</v>
      </c>
      <c r="P20" s="7">
        <f t="shared" si="1"/>
        <v>0.69767632607103103</v>
      </c>
      <c r="Q20" s="27">
        <f>IF($O20&gt;$P$2,"",Table131016[[#This Row],[Return]])</f>
        <v>4.5734619685534876E-2</v>
      </c>
      <c r="R20" s="32">
        <f t="shared" si="2"/>
        <v>-0.01</v>
      </c>
    </row>
    <row r="21" spans="2:18" x14ac:dyDescent="0.45">
      <c r="B21" s="4">
        <f t="shared" ca="1" si="3"/>
        <v>45575</v>
      </c>
      <c r="C21">
        <f t="shared" si="3"/>
        <v>17</v>
      </c>
      <c r="D21" s="1">
        <f t="shared" si="4"/>
        <v>115837</v>
      </c>
      <c r="E21" s="6">
        <v>2998</v>
      </c>
      <c r="F21" s="1">
        <v>918</v>
      </c>
      <c r="G21" s="5">
        <f>Table131016[[#This Row],[$Return]]/AVERAGE(Table131016[[#This Row],[Starting]],Table131016[[#This Row],[Starting]]+Table131016[[#This Row],[Inflows]])</f>
        <v>2.5779046570819288E-2</v>
      </c>
      <c r="H21" s="2">
        <f t="shared" si="0"/>
        <v>119753</v>
      </c>
      <c r="I21" s="18">
        <f>IF(Table131016[[#This Row],[Day]]=1,100,I20*(1+Table131016[[#This Row],[Return]]))</f>
        <v>111.22166457804552</v>
      </c>
      <c r="J21" s="3">
        <f>EXP(-((30-Table131016[[#This Row],[Day]])/30))</f>
        <v>0.64834434100150973</v>
      </c>
      <c r="K21" s="5"/>
      <c r="L21" s="5">
        <f>IF(Table131016[[#This Row],[Day]]&lt;=7,"",MIN(IF(I21&lt;MAX(I14:I20),I21/MAX(I14:I20)-1,-1%),-1%))</f>
        <v>-0.01</v>
      </c>
      <c r="M21" s="19"/>
      <c r="O21" s="31">
        <f t="shared" si="5"/>
        <v>17</v>
      </c>
      <c r="P21" s="7">
        <f t="shared" si="1"/>
        <v>0.72614903707369094</v>
      </c>
      <c r="Q21" s="27">
        <f>IF($O21&gt;$P$2,"",Table131016[[#This Row],[Return]])</f>
        <v>2.5779046570819288E-2</v>
      </c>
      <c r="R21" s="32">
        <f t="shared" si="2"/>
        <v>-0.01</v>
      </c>
    </row>
    <row r="22" spans="2:18" x14ac:dyDescent="0.45">
      <c r="B22" s="4">
        <f t="shared" ca="1" si="3"/>
        <v>45576</v>
      </c>
      <c r="C22">
        <f t="shared" si="3"/>
        <v>18</v>
      </c>
      <c r="D22" s="1">
        <f t="shared" si="4"/>
        <v>119753</v>
      </c>
      <c r="E22" s="6">
        <v>-1671</v>
      </c>
      <c r="F22" s="1">
        <v>345</v>
      </c>
      <c r="G22" s="5">
        <f>Table131016[[#This Row],[$Return]]/AVERAGE(Table131016[[#This Row],[Starting]],Table131016[[#This Row],[Starting]]+Table131016[[#This Row],[Inflows]])</f>
        <v>-1.3933650474669691E-2</v>
      </c>
      <c r="H22" s="2">
        <f t="shared" si="0"/>
        <v>118427</v>
      </c>
      <c r="I22" s="18">
        <f>IF(Table131016[[#This Row],[Day]]=1,100,I21*(1+Table131016[[#This Row],[Return]]))</f>
        <v>109.67194077860408</v>
      </c>
      <c r="J22" s="3">
        <f>EXP(-((30-Table131016[[#This Row],[Day]])/30))</f>
        <v>0.67032004603563933</v>
      </c>
      <c r="K22" s="5"/>
      <c r="L22" s="5">
        <f>IF(Table131016[[#This Row],[Day]]&lt;=7,"",MIN(IF(I22&lt;MAX(I15:I21),I22/MAX(I15:I21)-1,-1%),-1%))</f>
        <v>-1.3933650474669657E-2</v>
      </c>
      <c r="M22" s="19"/>
      <c r="O22" s="31">
        <f t="shared" si="5"/>
        <v>18</v>
      </c>
      <c r="P22" s="7">
        <f t="shared" si="1"/>
        <v>0.75578374145572547</v>
      </c>
      <c r="Q22" s="27">
        <f>IF($O22&gt;$P$2,"",Table131016[[#This Row],[Return]])</f>
        <v>-1.3933650474669691E-2</v>
      </c>
      <c r="R22" s="32">
        <f t="shared" si="2"/>
        <v>-1.3933650474669657E-2</v>
      </c>
    </row>
    <row r="23" spans="2:18" x14ac:dyDescent="0.45">
      <c r="B23" s="4">
        <f t="shared" ca="1" si="3"/>
        <v>45577</v>
      </c>
      <c r="C23">
        <f t="shared" si="3"/>
        <v>19</v>
      </c>
      <c r="D23" s="1">
        <f t="shared" si="4"/>
        <v>118427</v>
      </c>
      <c r="E23" s="6">
        <v>2358</v>
      </c>
      <c r="F23" s="1">
        <v>98</v>
      </c>
      <c r="G23" s="5">
        <f>Table131016[[#This Row],[$Return]]/AVERAGE(Table131016[[#This Row],[Starting]],Table131016[[#This Row],[Starting]]+Table131016[[#This Row],[Inflows]])</f>
        <v>1.9902765116985719E-2</v>
      </c>
      <c r="H23" s="2">
        <f t="shared" si="0"/>
        <v>120883</v>
      </c>
      <c r="I23" s="18">
        <f>IF(Table131016[[#This Row],[Day]]=1,100,I22*(1+Table131016[[#This Row],[Return]]))</f>
        <v>111.8547156558446</v>
      </c>
      <c r="J23" s="3">
        <f>EXP(-((30-Table131016[[#This Row],[Day]])/30))</f>
        <v>0.69304062008644152</v>
      </c>
      <c r="K23" s="5"/>
      <c r="L23" s="5">
        <f>IF(Table131016[[#This Row],[Day]]&lt;=7,"",MIN(IF(I23&lt;MAX(I16:I22),I23/MAX(I16:I22)-1,-1%),-1%))</f>
        <v>-0.01</v>
      </c>
      <c r="M23" s="19"/>
      <c r="O23" s="31">
        <f t="shared" si="5"/>
        <v>19</v>
      </c>
      <c r="P23" s="7">
        <f t="shared" si="1"/>
        <v>0.78662786106655347</v>
      </c>
      <c r="Q23" s="27">
        <f>IF($O23&gt;$P$2,"",Table131016[[#This Row],[Return]])</f>
        <v>1.9902765116985719E-2</v>
      </c>
      <c r="R23" s="32">
        <f t="shared" si="2"/>
        <v>-0.01</v>
      </c>
    </row>
    <row r="24" spans="2:18" x14ac:dyDescent="0.45">
      <c r="B24" s="4">
        <f t="shared" ca="1" si="3"/>
        <v>45578</v>
      </c>
      <c r="C24">
        <f t="shared" si="3"/>
        <v>20</v>
      </c>
      <c r="D24" s="1">
        <f t="shared" si="4"/>
        <v>120883</v>
      </c>
      <c r="E24" s="6">
        <v>842</v>
      </c>
      <c r="F24" s="1">
        <v>66</v>
      </c>
      <c r="G24" s="5">
        <f>Table131016[[#This Row],[$Return]]/AVERAGE(Table131016[[#This Row],[Starting]],Table131016[[#This Row],[Starting]]+Table131016[[#This Row],[Inflows]])</f>
        <v>6.9635118594726922E-3</v>
      </c>
      <c r="H24" s="2">
        <f t="shared" si="0"/>
        <v>121791</v>
      </c>
      <c r="I24" s="18">
        <f>IF(Table131016[[#This Row],[Day]]=1,100,I23*(1+Table131016[[#This Row],[Return]]))</f>
        <v>112.63361729485202</v>
      </c>
      <c r="J24" s="3">
        <f>EXP(-((30-Table131016[[#This Row],[Day]])/30))</f>
        <v>0.71653131057378927</v>
      </c>
      <c r="K24" s="5"/>
      <c r="L24" s="5">
        <f>IF(Table131016[[#This Row],[Day]]&lt;=7,"",MIN(IF(I24&lt;MAX(I17:I23),I24/MAX(I17:I23)-1,-1%),-1%))</f>
        <v>-0.01</v>
      </c>
      <c r="M24" s="19"/>
      <c r="O24" s="31">
        <f t="shared" si="5"/>
        <v>20</v>
      </c>
      <c r="P24" s="7">
        <f t="shared" si="1"/>
        <v>0.81873075307798182</v>
      </c>
      <c r="Q24" s="27">
        <f>IF($O24&gt;$P$2,"",Table131016[[#This Row],[Return]])</f>
        <v>6.9635118594726922E-3</v>
      </c>
      <c r="R24" s="32">
        <f t="shared" si="2"/>
        <v>-0.01</v>
      </c>
    </row>
    <row r="25" spans="2:18" x14ac:dyDescent="0.45">
      <c r="B25" s="4">
        <f t="shared" ca="1" si="3"/>
        <v>45579</v>
      </c>
      <c r="C25">
        <f t="shared" si="3"/>
        <v>21</v>
      </c>
      <c r="D25" s="1">
        <f t="shared" si="4"/>
        <v>121791</v>
      </c>
      <c r="E25" s="6">
        <v>9307</v>
      </c>
      <c r="F25" s="1">
        <v>833</v>
      </c>
      <c r="G25" s="5">
        <f>Table131016[[#This Row],[$Return]]/AVERAGE(Table131016[[#This Row],[Starting]],Table131016[[#This Row],[Starting]]+Table131016[[#This Row],[Inflows]])</f>
        <v>7.6157355317799644E-2</v>
      </c>
      <c r="H25" s="2">
        <f t="shared" si="0"/>
        <v>131931</v>
      </c>
      <c r="I25" s="18">
        <f>IF(Table131016[[#This Row],[Day]]=1,100,I24*(1+Table131016[[#This Row],[Return]]))</f>
        <v>121.21149570790513</v>
      </c>
      <c r="J25" s="3">
        <f>EXP(-((30-Table131016[[#This Row],[Day]])/30))</f>
        <v>0.74081822068171788</v>
      </c>
      <c r="K25" s="5"/>
      <c r="L25" s="5">
        <f>IF(Table131016[[#This Row],[Day]]&lt;=7,"",MIN(IF(I25&lt;MAX(I18:I24),I25/MAX(I18:I24)-1,-1%),-1%))</f>
        <v>-0.01</v>
      </c>
      <c r="M25" s="19"/>
      <c r="O25" s="31">
        <f t="shared" si="5"/>
        <v>21</v>
      </c>
      <c r="P25" s="7">
        <f t="shared" si="1"/>
        <v>0.85214378896621135</v>
      </c>
      <c r="Q25" s="27">
        <f>IF($O25&gt;$P$2,"",Table131016[[#This Row],[Return]])</f>
        <v>7.6157355317799644E-2</v>
      </c>
      <c r="R25" s="32">
        <f t="shared" si="2"/>
        <v>-0.01</v>
      </c>
    </row>
    <row r="26" spans="2:18" x14ac:dyDescent="0.45">
      <c r="B26" s="4">
        <f t="shared" ca="1" si="3"/>
        <v>45580</v>
      </c>
      <c r="C26">
        <f t="shared" si="3"/>
        <v>22</v>
      </c>
      <c r="D26" s="1">
        <f t="shared" si="4"/>
        <v>131931</v>
      </c>
      <c r="E26" s="6">
        <v>7481</v>
      </c>
      <c r="F26" s="1">
        <v>201</v>
      </c>
      <c r="G26" s="5">
        <f>Table131016[[#This Row],[$Return]]/AVERAGE(Table131016[[#This Row],[Starting]],Table131016[[#This Row],[Starting]]+Table131016[[#This Row],[Inflows]])</f>
        <v>5.6660721115794337E-2</v>
      </c>
      <c r="H26" s="2">
        <f t="shared" si="0"/>
        <v>139613</v>
      </c>
      <c r="I26" s="18">
        <f>IF(Table131016[[#This Row],[Day]]=1,100,I25*(1+Table131016[[#This Row],[Return]]))</f>
        <v>128.07942646223904</v>
      </c>
      <c r="J26" s="3">
        <f>EXP(-((30-Table131016[[#This Row],[Day]])/30))</f>
        <v>0.76592833836464869</v>
      </c>
      <c r="K26" s="5"/>
      <c r="L26" s="5">
        <f>IF(Table131016[[#This Row],[Day]]&lt;=7,"",MIN(IF(I26&lt;MAX(I19:I25),I26/MAX(I19:I25)-1,-1%),-1%))</f>
        <v>-0.01</v>
      </c>
      <c r="M26" s="19"/>
      <c r="O26" s="31">
        <f t="shared" si="5"/>
        <v>22</v>
      </c>
      <c r="P26" s="7">
        <f t="shared" si="1"/>
        <v>0.88692043671715748</v>
      </c>
      <c r="Q26" s="27">
        <f>IF($O26&gt;$P$2,"",Table131016[[#This Row],[Return]])</f>
        <v>5.6660721115794337E-2</v>
      </c>
      <c r="R26" s="32">
        <f t="shared" si="2"/>
        <v>-0.01</v>
      </c>
    </row>
    <row r="27" spans="2:18" x14ac:dyDescent="0.45">
      <c r="B27" s="4">
        <f t="shared" ca="1" si="3"/>
        <v>45581</v>
      </c>
      <c r="C27">
        <f t="shared" si="3"/>
        <v>23</v>
      </c>
      <c r="D27" s="1">
        <f t="shared" si="4"/>
        <v>139613</v>
      </c>
      <c r="E27" s="6">
        <v>374</v>
      </c>
      <c r="F27" s="1">
        <v>862</v>
      </c>
      <c r="G27" s="5">
        <f>Table131016[[#This Row],[$Return]]/AVERAGE(Table131016[[#This Row],[Starting]],Table131016[[#This Row],[Starting]]+Table131016[[#This Row],[Inflows]])</f>
        <v>2.6705892433806517E-3</v>
      </c>
      <c r="H27" s="2">
        <f t="shared" si="0"/>
        <v>140849</v>
      </c>
      <c r="I27" s="18">
        <f>IF(Table131016[[#This Row],[Day]]=1,100,I26*(1+Table131016[[#This Row],[Return]]))</f>
        <v>128.42147400084747</v>
      </c>
      <c r="J27" s="3">
        <f>EXP(-((30-Table131016[[#This Row],[Day]])/30))</f>
        <v>0.79188956633678165</v>
      </c>
      <c r="K27" s="5"/>
      <c r="L27" s="5">
        <f>IF(Table131016[[#This Row],[Day]]&lt;=7,"",MIN(IF(I27&lt;MAX(I20:I26),I27/MAX(I20:I26)-1,-1%),-1%))</f>
        <v>-0.01</v>
      </c>
      <c r="M27" s="19"/>
      <c r="O27" s="31">
        <f t="shared" si="5"/>
        <v>23</v>
      </c>
      <c r="P27" s="7">
        <f t="shared" si="1"/>
        <v>0.92311634638663576</v>
      </c>
      <c r="Q27" s="27">
        <f>IF($O27&gt;$P$2,"",Table131016[[#This Row],[Return]])</f>
        <v>2.6705892433806517E-3</v>
      </c>
      <c r="R27" s="32">
        <f t="shared" si="2"/>
        <v>-0.01</v>
      </c>
    </row>
    <row r="28" spans="2:18" x14ac:dyDescent="0.45">
      <c r="B28" s="4">
        <f t="shared" ca="1" si="3"/>
        <v>45582</v>
      </c>
      <c r="C28">
        <f t="shared" si="3"/>
        <v>24</v>
      </c>
      <c r="D28" s="1">
        <f t="shared" si="4"/>
        <v>140849</v>
      </c>
      <c r="E28" s="6">
        <v>3257</v>
      </c>
      <c r="F28" s="1">
        <v>372</v>
      </c>
      <c r="G28" s="5">
        <f>Table131016[[#This Row],[$Return]]/AVERAGE(Table131016[[#This Row],[Starting]],Table131016[[#This Row],[Starting]]+Table131016[[#This Row],[Inflows]])</f>
        <v>2.3093558336583119E-2</v>
      </c>
      <c r="H28" s="2">
        <f t="shared" si="0"/>
        <v>144478</v>
      </c>
      <c r="I28" s="18">
        <f>IF(Table131016[[#This Row],[Day]]=1,100,I27*(1+Table131016[[#This Row],[Return]]))</f>
        <v>131.38718280235605</v>
      </c>
      <c r="J28" s="3">
        <f>EXP(-((30-Table131016[[#This Row],[Day]])/30))</f>
        <v>0.81873075307798182</v>
      </c>
      <c r="K28" s="5"/>
      <c r="L28" s="5">
        <f>IF(Table131016[[#This Row],[Day]]&lt;=7,"",MIN(IF(I28&lt;MAX(I21:I27),I28/MAX(I21:I27)-1,-1%),-1%))</f>
        <v>-0.01</v>
      </c>
      <c r="M28" s="19"/>
      <c r="O28" s="31">
        <f t="shared" si="5"/>
        <v>24</v>
      </c>
      <c r="P28" s="7">
        <f t="shared" si="1"/>
        <v>0.96078943915232318</v>
      </c>
      <c r="Q28" s="27">
        <f>IF($O28&gt;$P$2,"",Table131016[[#This Row],[Return]])</f>
        <v>2.3093558336583119E-2</v>
      </c>
      <c r="R28" s="32">
        <f t="shared" si="2"/>
        <v>-0.01</v>
      </c>
    </row>
    <row r="29" spans="2:18" x14ac:dyDescent="0.45">
      <c r="B29" s="4">
        <f t="shared" ca="1" si="3"/>
        <v>45583</v>
      </c>
      <c r="C29">
        <f t="shared" si="3"/>
        <v>25</v>
      </c>
      <c r="D29" s="1">
        <f t="shared" si="4"/>
        <v>144478</v>
      </c>
      <c r="E29" s="6">
        <v>-87</v>
      </c>
      <c r="F29" s="1">
        <v>352</v>
      </c>
      <c r="G29" s="5">
        <f>Table131016[[#This Row],[$Return]]/AVERAGE(Table131016[[#This Row],[Starting]],Table131016[[#This Row],[Starting]]+Table131016[[#This Row],[Inflows]])</f>
        <v>-6.0143514869965577E-4</v>
      </c>
      <c r="H29" s="2">
        <f t="shared" si="0"/>
        <v>144743</v>
      </c>
      <c r="I29" s="18">
        <f>IF(Table131016[[#This Row],[Day]]=1,100,I28*(1+Table131016[[#This Row],[Return]]))</f>
        <v>131.30816193253008</v>
      </c>
      <c r="J29" s="3">
        <f>EXP(-((30-Table131016[[#This Row],[Day]])/30))</f>
        <v>0.84648172489061413</v>
      </c>
      <c r="K29" s="5"/>
      <c r="L29" s="5">
        <f>IF(Table131016[[#This Row],[Day]]&lt;=7,"",MIN(IF(I29&lt;MAX(I22:I28),I29/MAX(I22:I28)-1,-1%),-1%))</f>
        <v>-0.01</v>
      </c>
      <c r="M29" s="19"/>
      <c r="O29" s="31">
        <f t="shared" si="5"/>
        <v>25</v>
      </c>
      <c r="P29" s="7">
        <f t="shared" si="1"/>
        <v>1</v>
      </c>
      <c r="Q29" s="27">
        <f>IF($O29&gt;$P$2,"",Table131016[[#This Row],[Return]])</f>
        <v>-6.0143514869965577E-4</v>
      </c>
      <c r="R29" s="32">
        <f t="shared" si="2"/>
        <v>-0.01</v>
      </c>
    </row>
    <row r="30" spans="2:18" x14ac:dyDescent="0.45">
      <c r="B30" s="4">
        <f t="shared" ca="1" si="3"/>
        <v>45584</v>
      </c>
      <c r="C30">
        <f t="shared" si="3"/>
        <v>26</v>
      </c>
      <c r="D30" s="1">
        <f t="shared" si="4"/>
        <v>144743</v>
      </c>
      <c r="E30" s="6">
        <v>113</v>
      </c>
      <c r="F30" s="1">
        <v>691</v>
      </c>
      <c r="G30" s="5">
        <f>Table131016[[#This Row],[$Return]]/AVERAGE(Table131016[[#This Row],[Starting]],Table131016[[#This Row],[Starting]]+Table131016[[#This Row],[Inflows]])</f>
        <v>7.7883498692177537E-4</v>
      </c>
      <c r="H30" s="2">
        <f t="shared" si="0"/>
        <v>145547</v>
      </c>
      <c r="I30" s="18">
        <f>IF(Table131016[[#This Row],[Day]]=1,100,I29*(1+Table131016[[#This Row],[Return]]))</f>
        <v>131.41042932311152</v>
      </c>
      <c r="J30" s="3">
        <f>EXP(-((30-Table131016[[#This Row],[Day]])/30))</f>
        <v>0.87517331904294748</v>
      </c>
      <c r="K30" s="5"/>
      <c r="L30" s="5">
        <f>IF(Table131016[[#This Row],[Day]]&lt;=7,"",MIN(IF(I30&lt;MAX(I23:I29),I30/MAX(I23:I29)-1,-1%),-1%))</f>
        <v>-0.01</v>
      </c>
      <c r="M30" s="19"/>
      <c r="O30" s="31">
        <f t="shared" si="5"/>
        <v>26</v>
      </c>
      <c r="P30" s="7" t="str">
        <f t="shared" si="1"/>
        <v/>
      </c>
      <c r="Q30" s="27" t="str">
        <f>IF($O30&gt;$P$2,"",Table131016[[#This Row],[Return]])</f>
        <v/>
      </c>
      <c r="R30" s="32" t="str">
        <f t="shared" si="2"/>
        <v/>
      </c>
    </row>
    <row r="31" spans="2:18" x14ac:dyDescent="0.45">
      <c r="B31" s="4">
        <f t="shared" ca="1" si="3"/>
        <v>45585</v>
      </c>
      <c r="C31">
        <f t="shared" si="3"/>
        <v>27</v>
      </c>
      <c r="D31" s="1">
        <f t="shared" si="4"/>
        <v>145547</v>
      </c>
      <c r="E31" s="6">
        <v>-3621</v>
      </c>
      <c r="F31" s="1">
        <v>800</v>
      </c>
      <c r="G31" s="5">
        <f>Table131016[[#This Row],[$Return]]/AVERAGE(Table131016[[#This Row],[Starting]],Table131016[[#This Row],[Starting]]+Table131016[[#This Row],[Inflows]])</f>
        <v>-2.4810376369503999E-2</v>
      </c>
      <c r="H31" s="2">
        <f t="shared" si="0"/>
        <v>142726</v>
      </c>
      <c r="I31" s="18">
        <f>IF(Table131016[[#This Row],[Day]]=1,100,I30*(1+Table131016[[#This Row],[Return]]))</f>
        <v>128.15008711272702</v>
      </c>
      <c r="J31" s="3">
        <f>EXP(-((30-Table131016[[#This Row],[Day]])/30))</f>
        <v>0.90483741803595952</v>
      </c>
      <c r="K31" s="5"/>
      <c r="L31" s="5">
        <f>IF(Table131016[[#This Row],[Day]]&lt;=7,"",MIN(IF(I31&lt;MAX(I24:I30),I31/MAX(I24:I30)-1,-1%),-1%))</f>
        <v>-2.4810376369503895E-2</v>
      </c>
      <c r="M31" s="19"/>
      <c r="O31" s="31">
        <f t="shared" si="5"/>
        <v>27</v>
      </c>
      <c r="P31" s="7" t="str">
        <f t="shared" si="1"/>
        <v/>
      </c>
      <c r="Q31" s="27" t="str">
        <f>IF($O31&gt;$P$2,"",Table131016[[#This Row],[Return]])</f>
        <v/>
      </c>
      <c r="R31" s="32" t="str">
        <f t="shared" si="2"/>
        <v/>
      </c>
    </row>
    <row r="32" spans="2:18" x14ac:dyDescent="0.45">
      <c r="B32" s="4">
        <f t="shared" ca="1" si="3"/>
        <v>45586</v>
      </c>
      <c r="C32">
        <f t="shared" si="3"/>
        <v>28</v>
      </c>
      <c r="D32" s="1">
        <f t="shared" si="4"/>
        <v>142726</v>
      </c>
      <c r="E32" s="6">
        <v>703</v>
      </c>
      <c r="F32" s="1">
        <v>296</v>
      </c>
      <c r="G32" s="5">
        <f>Table131016[[#This Row],[$Return]]/AVERAGE(Table131016[[#This Row],[Starting]],Table131016[[#This Row],[Starting]]+Table131016[[#This Row],[Inflows]])</f>
        <v>4.9204193905119193E-3</v>
      </c>
      <c r="H32" s="2">
        <f>D32+E32+F32</f>
        <v>143725</v>
      </c>
      <c r="I32" s="18">
        <f>IF(Table131016[[#This Row],[Day]]=1,100,I31*(1+Table131016[[#This Row],[Return]]))</f>
        <v>128.78063928625227</v>
      </c>
      <c r="J32" s="3">
        <f>EXP(-((30-Table131016[[#This Row],[Day]])/30))</f>
        <v>0.93550698503161778</v>
      </c>
      <c r="K32" s="5"/>
      <c r="L32" s="5">
        <f>IF(Table131016[[#This Row],[Day]]&lt;=7,"",MIN(IF(I32&lt;MAX(I25:I31),I32/MAX(I25:I31)-1,-1%),-1%))</f>
        <v>-2.0012034435966441E-2</v>
      </c>
      <c r="M32" s="19"/>
      <c r="O32" s="31">
        <f t="shared" si="5"/>
        <v>28</v>
      </c>
      <c r="P32" s="7" t="str">
        <f t="shared" si="1"/>
        <v/>
      </c>
      <c r="Q32" s="27" t="str">
        <f>IF($O32&gt;$P$2,"",Table131016[[#This Row],[Return]])</f>
        <v/>
      </c>
      <c r="R32" s="32" t="str">
        <f t="shared" si="2"/>
        <v/>
      </c>
    </row>
    <row r="33" spans="2:18" x14ac:dyDescent="0.45">
      <c r="B33" s="4">
        <f t="shared" ca="1" si="3"/>
        <v>45587</v>
      </c>
      <c r="C33">
        <f t="shared" si="3"/>
        <v>29</v>
      </c>
      <c r="D33" s="1">
        <f t="shared" si="4"/>
        <v>143725</v>
      </c>
      <c r="E33" s="6">
        <v>569</v>
      </c>
      <c r="F33" s="1">
        <v>334</v>
      </c>
      <c r="G33" s="5">
        <f>Table131016[[#This Row],[$Return]]/AVERAGE(Table131016[[#This Row],[Starting]],Table131016[[#This Row],[Starting]]+Table131016[[#This Row],[Inflows]])</f>
        <v>3.9543546548800488E-3</v>
      </c>
      <c r="H33" s="2">
        <f t="shared" si="0"/>
        <v>144628</v>
      </c>
      <c r="I33" s="18">
        <f>IF(Table131016[[#This Row],[Day]]=1,100,I32*(1+Table131016[[#This Row],[Return]]))</f>
        <v>129.2898836066723</v>
      </c>
      <c r="J33" s="3">
        <f>EXP(-((30-Table131016[[#This Row],[Day]])/30))</f>
        <v>0.9672161004820059</v>
      </c>
      <c r="K33" s="5"/>
      <c r="L33" s="5">
        <f>IF(Table131016[[#This Row],[Day]]&lt;=7,"",MIN(IF(I33&lt;MAX(I26:I32),I33/MAX(I26:I32)-1,-1%),-1%))</f>
        <v>-1.6136814462611837E-2</v>
      </c>
      <c r="M33" s="19"/>
      <c r="O33" s="31">
        <f t="shared" si="5"/>
        <v>29</v>
      </c>
      <c r="P33" s="7" t="str">
        <f t="shared" si="1"/>
        <v/>
      </c>
      <c r="Q33" s="27" t="str">
        <f>IF($O33&gt;$P$2,"",Table131016[[#This Row],[Return]])</f>
        <v/>
      </c>
      <c r="R33" s="32" t="str">
        <f t="shared" si="2"/>
        <v/>
      </c>
    </row>
    <row r="34" spans="2:18" x14ac:dyDescent="0.45">
      <c r="B34" s="4">
        <f t="shared" ca="1" si="3"/>
        <v>45588</v>
      </c>
      <c r="C34">
        <f t="shared" si="3"/>
        <v>30</v>
      </c>
      <c r="D34" s="1">
        <f t="shared" si="4"/>
        <v>144628</v>
      </c>
      <c r="E34" s="6">
        <v>341</v>
      </c>
      <c r="F34" s="1">
        <v>565</v>
      </c>
      <c r="G34" s="5">
        <f>Table131016[[#This Row],[$Return]]/AVERAGE(Table131016[[#This Row],[Starting]],Table131016[[#This Row],[Starting]]+Table131016[[#This Row],[Inflows]])</f>
        <v>2.3531766159112003E-3</v>
      </c>
      <c r="H34" s="2">
        <f t="shared" si="0"/>
        <v>145534</v>
      </c>
      <c r="I34" s="18">
        <f>IF(Table131016[[#This Row],[Day]]=1,100,I33*(1+Table131016[[#This Row],[Return]]))</f>
        <v>129.59412553744943</v>
      </c>
      <c r="J34" s="3">
        <f>EXP(-((30-Table131016[[#This Row],[Day]])/30))</f>
        <v>1</v>
      </c>
      <c r="K34" s="5">
        <f>SUMPRODUCT($G$5:G34,$J$5:J34)/SUM(Table131016[Day Weight])</f>
        <v>9.0738011183652146E-3</v>
      </c>
      <c r="L34" s="5">
        <f>IF(Table131016[[#This Row],[Day]]&lt;=7,"",MIN(IF(I34&lt;MAX(I27:I33),I34/MAX(I27:I33)-1,-1%),-1%))</f>
        <v>-1.3821610621149172E-2</v>
      </c>
      <c r="M34" s="20">
        <f>IF(Table131016[[#This Row],[Day]]&lt;=7,"NM",Table131016[[#This Row],[Wgt. Avg.Return]]/ABS(Table131016[[#This Row],[Max 7d DD]]))</f>
        <v>0.65649375945238364</v>
      </c>
      <c r="O34" s="31">
        <f t="shared" si="5"/>
        <v>30</v>
      </c>
      <c r="P34" s="7" t="str">
        <f t="shared" si="1"/>
        <v/>
      </c>
      <c r="Q34" s="27" t="str">
        <f>IF($O34&gt;$P$2,"",Table131016[[#This Row],[Return]])</f>
        <v/>
      </c>
      <c r="R34" s="32" t="str">
        <f t="shared" si="2"/>
        <v/>
      </c>
    </row>
    <row r="35" spans="2:18" x14ac:dyDescent="0.45">
      <c r="B35" t="s">
        <v>7</v>
      </c>
      <c r="E35" s="16">
        <f>SUBTOTAL(109,Table131016[$Return])</f>
        <v>30568</v>
      </c>
      <c r="F35" s="2">
        <f>SUBTOTAL(109,Table131016[Inflows])</f>
        <v>14966</v>
      </c>
      <c r="G35" s="2"/>
      <c r="K35" s="2"/>
      <c r="L35" s="2"/>
      <c r="M35" s="2"/>
    </row>
  </sheetData>
  <dataValidations count="1">
    <dataValidation type="list" allowBlank="1" showInputMessage="1" showErrorMessage="1" sqref="P2" xr:uid="{1BF59659-64D3-4C12-959E-844E7BCA6B94}">
      <formula1>$O$12:$O$34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Example</vt:lpstr>
      <vt:lpstr>Calculator</vt:lpstr>
      <vt:lpstr>Example!Historical_Wgt</vt:lpstr>
      <vt:lpstr>Example!LeadDays</vt:lpstr>
      <vt:lpstr>Example!Sharpe_Wgt</vt:lpstr>
      <vt:lpstr>Example!SharpePeriod</vt:lpstr>
      <vt:lpstr>Example!Today_Wgt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Augustine Fan</dc:creator>
  <cp:lastModifiedBy>Augustine Fan</cp:lastModifiedBy>
  <dcterms:created xsi:type="dcterms:W3CDTF">2024-08-04T04:57:28Z</dcterms:created>
  <dcterms:modified xsi:type="dcterms:W3CDTF">2024-09-24T07:20:28Z</dcterms:modified>
</cp:coreProperties>
</file>